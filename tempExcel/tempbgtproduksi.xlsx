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l_n\Downloads\"/>
    </mc:Choice>
  </mc:AlternateContent>
  <xr:revisionPtr revIDLastSave="0" documentId="13_ncr:1_{02FB8736-C59A-4F8F-B326-A4AA27641DF0}" xr6:coauthVersionLast="47" xr6:coauthVersionMax="47" xr10:uidLastSave="{00000000-0000-0000-0000-000000000000}"/>
  <bookViews>
    <workbookView xWindow="-110" yWindow="-110" windowWidth="29020" windowHeight="17500" xr2:uid="{0AF11D4B-F09D-44D8-9E62-C44011CD2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" i="1" l="1"/>
  <c r="AF5" i="1"/>
  <c r="AF4" i="1"/>
  <c r="AF3" i="1"/>
  <c r="AF2" i="1"/>
  <c r="AE6" i="1"/>
  <c r="AD6" i="1"/>
  <c r="AC6" i="1"/>
  <c r="AB6" i="1"/>
  <c r="AA6" i="1"/>
  <c r="Z6" i="1"/>
  <c r="Y6" i="1"/>
  <c r="X6" i="1"/>
  <c r="W6" i="1"/>
  <c r="V6" i="1"/>
  <c r="AE5" i="1"/>
  <c r="AD5" i="1"/>
  <c r="AC5" i="1"/>
  <c r="AB5" i="1"/>
  <c r="AA5" i="1"/>
  <c r="Z5" i="1"/>
  <c r="Y5" i="1"/>
  <c r="X5" i="1"/>
  <c r="W5" i="1"/>
  <c r="V5" i="1"/>
  <c r="AE4" i="1"/>
  <c r="AD4" i="1"/>
  <c r="AC4" i="1"/>
  <c r="AB4" i="1"/>
  <c r="AA4" i="1"/>
  <c r="Z4" i="1"/>
  <c r="Y4" i="1"/>
  <c r="X4" i="1"/>
  <c r="W4" i="1"/>
  <c r="V4" i="1"/>
  <c r="AE3" i="1"/>
  <c r="AD3" i="1"/>
  <c r="AC3" i="1"/>
  <c r="AB3" i="1"/>
  <c r="AA3" i="1"/>
  <c r="Z3" i="1"/>
  <c r="Y3" i="1"/>
  <c r="X3" i="1"/>
  <c r="W3" i="1"/>
  <c r="V3" i="1"/>
  <c r="AE2" i="1"/>
  <c r="AD2" i="1"/>
  <c r="AC2" i="1"/>
  <c r="AB2" i="1"/>
  <c r="AA2" i="1"/>
  <c r="Z2" i="1"/>
  <c r="Y2" i="1"/>
  <c r="X2" i="1"/>
  <c r="W2" i="1"/>
  <c r="V2" i="1"/>
  <c r="U6" i="1"/>
  <c r="U5" i="1"/>
  <c r="U4" i="1"/>
  <c r="U3" i="1"/>
  <c r="U2" i="1"/>
  <c r="S6" i="1"/>
  <c r="R6" i="1"/>
  <c r="Q6" i="1"/>
  <c r="P6" i="1"/>
  <c r="O6" i="1"/>
  <c r="N6" i="1"/>
  <c r="M6" i="1"/>
  <c r="L6" i="1"/>
  <c r="K6" i="1"/>
  <c r="J6" i="1"/>
  <c r="I6" i="1"/>
  <c r="S5" i="1"/>
  <c r="R5" i="1"/>
  <c r="Q5" i="1"/>
  <c r="P5" i="1"/>
  <c r="O5" i="1"/>
  <c r="N5" i="1"/>
  <c r="M5" i="1"/>
  <c r="L5" i="1"/>
  <c r="K5" i="1"/>
  <c r="J5" i="1"/>
  <c r="I5" i="1"/>
  <c r="S4" i="1"/>
  <c r="R4" i="1"/>
  <c r="Q4" i="1"/>
  <c r="P4" i="1"/>
  <c r="O4" i="1"/>
  <c r="N4" i="1"/>
  <c r="M4" i="1"/>
  <c r="L4" i="1"/>
  <c r="K4" i="1"/>
  <c r="J4" i="1"/>
  <c r="I4" i="1"/>
  <c r="T4" i="1"/>
  <c r="T3" i="1"/>
  <c r="T2" i="1"/>
  <c r="S3" i="1"/>
  <c r="R3" i="1"/>
  <c r="Q3" i="1"/>
  <c r="P3" i="1"/>
  <c r="O3" i="1"/>
  <c r="N3" i="1"/>
  <c r="M3" i="1"/>
  <c r="L3" i="1"/>
  <c r="K3" i="1"/>
  <c r="J3" i="1"/>
  <c r="I3" i="1"/>
  <c r="S2" i="1"/>
  <c r="R2" i="1"/>
  <c r="Q2" i="1"/>
  <c r="P2" i="1"/>
  <c r="O2" i="1"/>
  <c r="N2" i="1"/>
  <c r="M2" i="1"/>
  <c r="L2" i="1"/>
  <c r="K2" i="1"/>
  <c r="J2" i="1"/>
  <c r="I2" i="1"/>
  <c r="T6" i="1" l="1"/>
  <c r="T5" i="1"/>
</calcChain>
</file>

<file path=xl/sharedStrings.xml><?xml version="1.0" encoding="utf-8"?>
<sst xmlns="http://schemas.openxmlformats.org/spreadsheetml/2006/main" count="59" uniqueCount="53">
  <si>
    <t>kodeblok</t>
  </si>
  <si>
    <t>PPPE</t>
  </si>
  <si>
    <t>tahunbudget</t>
  </si>
  <si>
    <t>kodeunit</t>
  </si>
  <si>
    <t>tahuntanam</t>
  </si>
  <si>
    <t>jenisbudget</t>
  </si>
  <si>
    <t>totaljjg</t>
  </si>
  <si>
    <t>totalkg</t>
  </si>
  <si>
    <t>totalkgbruto</t>
  </si>
  <si>
    <t>jjg01</t>
  </si>
  <si>
    <t>jjg02</t>
  </si>
  <si>
    <t>jjg03</t>
  </si>
  <si>
    <t>jjg04</t>
  </si>
  <si>
    <t>jjg05</t>
  </si>
  <si>
    <t>jjg06</t>
  </si>
  <si>
    <t>jjg07</t>
  </si>
  <si>
    <t>jjg08</t>
  </si>
  <si>
    <t>jjg09</t>
  </si>
  <si>
    <t>jjg10</t>
  </si>
  <si>
    <t>jjg11</t>
  </si>
  <si>
    <t>jjg12</t>
  </si>
  <si>
    <t>kg01</t>
  </si>
  <si>
    <t>kg02</t>
  </si>
  <si>
    <t>kg03</t>
  </si>
  <si>
    <t>kg04</t>
  </si>
  <si>
    <t>kg05</t>
  </si>
  <si>
    <t>kg06</t>
  </si>
  <si>
    <t>kg07</t>
  </si>
  <si>
    <t>kg09</t>
  </si>
  <si>
    <t>kg08</t>
  </si>
  <si>
    <t>kg10</t>
  </si>
  <si>
    <t>kg11</t>
  </si>
  <si>
    <t>kg12</t>
  </si>
  <si>
    <t>kgbruto01</t>
  </si>
  <si>
    <t>kgbruto02</t>
  </si>
  <si>
    <t>kgbruto03</t>
  </si>
  <si>
    <t>kgbruto04</t>
  </si>
  <si>
    <t>kgbruto05</t>
  </si>
  <si>
    <t>kgbruto06</t>
  </si>
  <si>
    <t>kgbruto07</t>
  </si>
  <si>
    <t>kgbruto08</t>
  </si>
  <si>
    <t>kgbruto09</t>
  </si>
  <si>
    <t>kgbruto10</t>
  </si>
  <si>
    <t>kgbruto11</t>
  </si>
  <si>
    <t>kgbruto12</t>
  </si>
  <si>
    <t>PPPE01A11B</t>
  </si>
  <si>
    <t>PPPE01A11E</t>
  </si>
  <si>
    <t>PPPE01A11G</t>
  </si>
  <si>
    <t>PPPE01A11I</t>
  </si>
  <si>
    <t>PPPE01A11J</t>
  </si>
  <si>
    <t>Optimis</t>
  </si>
  <si>
    <t>Moderat</t>
  </si>
  <si>
    <t>Pesimis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</si>
</sst>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9803-CC8B-4B3C-B725-EFABE039170F}">
  <dimension ref="A1:AR6"/>
  <sheetViews>
    <sheetView tabSelected="1" topLeftCell="C1" workbookViewId="0">
      <selection activeCell="L8" sqref="L8"/>
    </sheetView>
  </sheetViews>
  <sheetFormatPr defaultRowHeight="14.5" x14ac:dyDescent="0.35"/>
  <cols>
    <col min="1" max="1" width="11" bestFit="1" customWidth="1"/>
    <col min="2" max="2" width="7.81640625" bestFit="1" customWidth="1"/>
    <col min="3" max="3" width="11.453125" bestFit="1" customWidth="1"/>
    <col min="4" max="4" width="10.6328125" bestFit="1" customWidth="1"/>
    <col min="5" max="5" width="10.1796875" bestFit="1" customWidth="1"/>
    <col min="6" max="6" width="6.36328125" bestFit="1" customWidth="1"/>
    <col min="7" max="7" width="6.81640625" bestFit="1" customWidth="1"/>
    <col min="8" max="8" width="10.6328125" bestFit="1" customWidth="1"/>
    <col min="9" max="20" width="7.36328125" bestFit="1" customWidth="1"/>
    <col min="21" max="32" width="8.36328125" bestFit="1" customWidth="1"/>
    <col min="33" max="44" width="8.90625" bestFit="1" customWidth="1"/>
  </cols>
  <sheetData>
    <row r="1" spans="1:44" x14ac:dyDescent="0.35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29</v>
      </c>
      <c r="AC1" t="s">
        <v>28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</row>
    <row r="2" spans="1:44" x14ac:dyDescent="0.35">
      <c r="A2">
        <v>2024</v>
      </c>
      <c r="B2" s="1" t="s">
        <v>1</v>
      </c>
      <c r="C2" t="s">
        <v>45</v>
      </c>
      <c r="D2">
        <v>2013</v>
      </c>
      <c r="E2" t="s">
        <v>50</v>
      </c>
      <c r="F2">
        <v>20000</v>
      </c>
      <c r="G2">
        <v>120000</v>
      </c>
      <c r="H2">
        <v>0</v>
      </c>
      <c r="I2" s="2">
        <f t="shared" ref="I2:S2" si="0">$F$2/12</f>
        <v>1666.6666666666667</v>
      </c>
      <c r="J2" s="2">
        <f t="shared" si="0"/>
        <v>1666.6666666666667</v>
      </c>
      <c r="K2" s="2">
        <f t="shared" si="0"/>
        <v>1666.6666666666667</v>
      </c>
      <c r="L2" s="2">
        <f t="shared" si="0"/>
        <v>1666.6666666666667</v>
      </c>
      <c r="M2" s="2">
        <f t="shared" si="0"/>
        <v>1666.6666666666667</v>
      </c>
      <c r="N2" s="2">
        <f t="shared" si="0"/>
        <v>1666.6666666666667</v>
      </c>
      <c r="O2" s="2">
        <f t="shared" si="0"/>
        <v>1666.6666666666667</v>
      </c>
      <c r="P2" s="2">
        <f t="shared" si="0"/>
        <v>1666.6666666666667</v>
      </c>
      <c r="Q2" s="2">
        <f t="shared" si="0"/>
        <v>1666.6666666666667</v>
      </c>
      <c r="R2" s="2">
        <f t="shared" si="0"/>
        <v>1666.6666666666667</v>
      </c>
      <c r="S2" s="2">
        <f t="shared" si="0"/>
        <v>1666.6666666666667</v>
      </c>
      <c r="T2" s="2">
        <f>$F$2-SUM(I2:S2)</f>
        <v>1666.6666666666679</v>
      </c>
      <c r="U2" s="2">
        <f>$G$2/12</f>
        <v>10000</v>
      </c>
      <c r="V2" s="2">
        <f t="shared" ref="V2:AE2" si="1">$G$2/12</f>
        <v>10000</v>
      </c>
      <c r="W2" s="2">
        <f t="shared" si="1"/>
        <v>10000</v>
      </c>
      <c r="X2" s="2">
        <f t="shared" si="1"/>
        <v>10000</v>
      </c>
      <c r="Y2" s="2">
        <f t="shared" si="1"/>
        <v>10000</v>
      </c>
      <c r="Z2" s="2">
        <f t="shared" si="1"/>
        <v>10000</v>
      </c>
      <c r="AA2" s="2">
        <f t="shared" si="1"/>
        <v>10000</v>
      </c>
      <c r="AB2" s="2">
        <f t="shared" si="1"/>
        <v>10000</v>
      </c>
      <c r="AC2" s="2">
        <f t="shared" si="1"/>
        <v>10000</v>
      </c>
      <c r="AD2" s="2">
        <f t="shared" si="1"/>
        <v>10000</v>
      </c>
      <c r="AE2" s="2">
        <f t="shared" si="1"/>
        <v>10000</v>
      </c>
      <c r="AF2" s="2">
        <f>$G$2-SUM(U2:AE2)</f>
        <v>10000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35">
      <c r="A3">
        <v>2024</v>
      </c>
      <c r="B3" s="1" t="s">
        <v>1</v>
      </c>
      <c r="C3" t="s">
        <v>46</v>
      </c>
      <c r="D3">
        <v>2016</v>
      </c>
      <c r="E3" t="s">
        <v>51</v>
      </c>
      <c r="F3">
        <v>25000</v>
      </c>
      <c r="G3">
        <v>275000</v>
      </c>
      <c r="H3">
        <v>0</v>
      </c>
      <c r="I3" s="2">
        <f>$F$3/12</f>
        <v>2083.3333333333335</v>
      </c>
      <c r="J3" s="2">
        <f t="shared" ref="J3:S3" si="2">$F$3/12</f>
        <v>2083.3333333333335</v>
      </c>
      <c r="K3" s="2">
        <f t="shared" si="2"/>
        <v>2083.3333333333335</v>
      </c>
      <c r="L3" s="2">
        <f t="shared" si="2"/>
        <v>2083.3333333333335</v>
      </c>
      <c r="M3" s="2">
        <f t="shared" si="2"/>
        <v>2083.3333333333335</v>
      </c>
      <c r="N3" s="2">
        <f t="shared" si="2"/>
        <v>2083.3333333333335</v>
      </c>
      <c r="O3" s="2">
        <f t="shared" si="2"/>
        <v>2083.3333333333335</v>
      </c>
      <c r="P3" s="2">
        <f t="shared" si="2"/>
        <v>2083.3333333333335</v>
      </c>
      <c r="Q3" s="2">
        <f t="shared" si="2"/>
        <v>2083.3333333333335</v>
      </c>
      <c r="R3" s="2">
        <f t="shared" si="2"/>
        <v>2083.3333333333335</v>
      </c>
      <c r="S3" s="2">
        <f t="shared" si="2"/>
        <v>2083.3333333333335</v>
      </c>
      <c r="T3" s="2">
        <f>$F$3-SUM(I3:S3)</f>
        <v>2083.3333333333358</v>
      </c>
      <c r="U3" s="2">
        <f>$G$3/12</f>
        <v>22916.666666666668</v>
      </c>
      <c r="V3" s="2">
        <f t="shared" ref="V3:AE3" si="3">$G$3/12</f>
        <v>22916.666666666668</v>
      </c>
      <c r="W3" s="2">
        <f t="shared" si="3"/>
        <v>22916.666666666668</v>
      </c>
      <c r="X3" s="2">
        <f t="shared" si="3"/>
        <v>22916.666666666668</v>
      </c>
      <c r="Y3" s="2">
        <f t="shared" si="3"/>
        <v>22916.666666666668</v>
      </c>
      <c r="Z3" s="2">
        <f t="shared" si="3"/>
        <v>22916.666666666668</v>
      </c>
      <c r="AA3" s="2">
        <f t="shared" si="3"/>
        <v>22916.666666666668</v>
      </c>
      <c r="AB3" s="2">
        <f t="shared" si="3"/>
        <v>22916.666666666668</v>
      </c>
      <c r="AC3" s="2">
        <f t="shared" si="3"/>
        <v>22916.666666666668</v>
      </c>
      <c r="AD3" s="2">
        <f t="shared" si="3"/>
        <v>22916.666666666668</v>
      </c>
      <c r="AE3" s="2">
        <f t="shared" si="3"/>
        <v>22916.666666666668</v>
      </c>
      <c r="AF3" s="2">
        <f>$G$3-SUM(U3:AE3)</f>
        <v>22916.666666666715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35">
      <c r="A4">
        <v>2024</v>
      </c>
      <c r="B4" s="1" t="s">
        <v>1</v>
      </c>
      <c r="C4" t="s">
        <v>47</v>
      </c>
      <c r="D4">
        <v>2018</v>
      </c>
      <c r="E4" t="s">
        <v>51</v>
      </c>
      <c r="F4">
        <v>15000</v>
      </c>
      <c r="G4">
        <v>350000</v>
      </c>
      <c r="H4">
        <v>0</v>
      </c>
      <c r="I4">
        <f>$F$4/12</f>
        <v>1250</v>
      </c>
      <c r="J4">
        <f t="shared" ref="J4:S4" si="4">$F$4/12</f>
        <v>1250</v>
      </c>
      <c r="K4">
        <f t="shared" si="4"/>
        <v>1250</v>
      </c>
      <c r="L4">
        <f t="shared" si="4"/>
        <v>1250</v>
      </c>
      <c r="M4">
        <f t="shared" si="4"/>
        <v>1250</v>
      </c>
      <c r="N4">
        <f t="shared" si="4"/>
        <v>1250</v>
      </c>
      <c r="O4">
        <f t="shared" si="4"/>
        <v>1250</v>
      </c>
      <c r="P4">
        <f t="shared" si="4"/>
        <v>1250</v>
      </c>
      <c r="Q4">
        <f t="shared" si="4"/>
        <v>1250</v>
      </c>
      <c r="R4">
        <f t="shared" si="4"/>
        <v>1250</v>
      </c>
      <c r="S4">
        <f t="shared" si="4"/>
        <v>1250</v>
      </c>
      <c r="T4" s="2">
        <f>$F$4-SUM(I4:S4)</f>
        <v>1250</v>
      </c>
      <c r="U4" s="2">
        <f>$G$4/12</f>
        <v>29166.666666666668</v>
      </c>
      <c r="V4" s="2">
        <f t="shared" ref="V4:AE4" si="5">$G$4/12</f>
        <v>29166.666666666668</v>
      </c>
      <c r="W4" s="2">
        <f t="shared" si="5"/>
        <v>29166.666666666668</v>
      </c>
      <c r="X4" s="2">
        <f t="shared" si="5"/>
        <v>29166.666666666668</v>
      </c>
      <c r="Y4" s="2">
        <f t="shared" si="5"/>
        <v>29166.666666666668</v>
      </c>
      <c r="Z4" s="2">
        <f t="shared" si="5"/>
        <v>29166.666666666668</v>
      </c>
      <c r="AA4" s="2">
        <f t="shared" si="5"/>
        <v>29166.666666666668</v>
      </c>
      <c r="AB4" s="2">
        <f t="shared" si="5"/>
        <v>29166.666666666668</v>
      </c>
      <c r="AC4" s="2">
        <f t="shared" si="5"/>
        <v>29166.666666666668</v>
      </c>
      <c r="AD4" s="2">
        <f t="shared" si="5"/>
        <v>29166.666666666668</v>
      </c>
      <c r="AE4" s="2">
        <f t="shared" si="5"/>
        <v>29166.666666666668</v>
      </c>
      <c r="AF4" s="2">
        <f>$G$4-SUM(U4:AE4)</f>
        <v>29166.666666666628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35">
      <c r="A5">
        <v>2024</v>
      </c>
      <c r="B5" s="1" t="s">
        <v>1</v>
      </c>
      <c r="C5" t="s">
        <v>48</v>
      </c>
      <c r="D5">
        <v>2020</v>
      </c>
      <c r="E5" t="s">
        <v>51</v>
      </c>
      <c r="F5">
        <v>27500</v>
      </c>
      <c r="G5">
        <v>400000</v>
      </c>
      <c r="H5">
        <v>0</v>
      </c>
      <c r="I5" s="2">
        <f>$F$5/12</f>
        <v>2291.6666666666665</v>
      </c>
      <c r="J5" s="2">
        <f t="shared" ref="J5:S5" si="6">$F$5/12</f>
        <v>2291.6666666666665</v>
      </c>
      <c r="K5" s="2">
        <f t="shared" si="6"/>
        <v>2291.6666666666665</v>
      </c>
      <c r="L5" s="2">
        <f t="shared" si="6"/>
        <v>2291.6666666666665</v>
      </c>
      <c r="M5" s="2">
        <f t="shared" si="6"/>
        <v>2291.6666666666665</v>
      </c>
      <c r="N5" s="2">
        <f t="shared" si="6"/>
        <v>2291.6666666666665</v>
      </c>
      <c r="O5" s="2">
        <f t="shared" si="6"/>
        <v>2291.6666666666665</v>
      </c>
      <c r="P5" s="2">
        <f t="shared" si="6"/>
        <v>2291.6666666666665</v>
      </c>
      <c r="Q5" s="2">
        <f t="shared" si="6"/>
        <v>2291.6666666666665</v>
      </c>
      <c r="R5" s="2">
        <f t="shared" si="6"/>
        <v>2291.6666666666665</v>
      </c>
      <c r="S5" s="2">
        <f t="shared" si="6"/>
        <v>2291.6666666666665</v>
      </c>
      <c r="T5" s="2">
        <f>$F$5-SUM(I5:S5)</f>
        <v>2291.6666666666642</v>
      </c>
      <c r="U5" s="2">
        <f>$G$5/12</f>
        <v>33333.333333333336</v>
      </c>
      <c r="V5" s="2">
        <f t="shared" ref="V5:AE5" si="7">$G$5/12</f>
        <v>33333.333333333336</v>
      </c>
      <c r="W5" s="2">
        <f t="shared" si="7"/>
        <v>33333.333333333336</v>
      </c>
      <c r="X5" s="2">
        <f t="shared" si="7"/>
        <v>33333.333333333336</v>
      </c>
      <c r="Y5" s="2">
        <f t="shared" si="7"/>
        <v>33333.333333333336</v>
      </c>
      <c r="Z5" s="2">
        <f t="shared" si="7"/>
        <v>33333.333333333336</v>
      </c>
      <c r="AA5" s="2">
        <f t="shared" si="7"/>
        <v>33333.333333333336</v>
      </c>
      <c r="AB5" s="2">
        <f t="shared" si="7"/>
        <v>33333.333333333336</v>
      </c>
      <c r="AC5" s="2">
        <f t="shared" si="7"/>
        <v>33333.333333333336</v>
      </c>
      <c r="AD5" s="2">
        <f t="shared" si="7"/>
        <v>33333.333333333336</v>
      </c>
      <c r="AE5" s="2">
        <f t="shared" si="7"/>
        <v>33333.333333333336</v>
      </c>
      <c r="AF5" s="2">
        <f>$G$5-SUM(U5:AE5)</f>
        <v>33333.333333333372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>
        <v>2024</v>
      </c>
      <c r="B6" s="1" t="s">
        <v>1</v>
      </c>
      <c r="C6" t="s">
        <v>49</v>
      </c>
      <c r="D6">
        <v>2021</v>
      </c>
      <c r="E6" t="s">
        <v>52</v>
      </c>
      <c r="F6">
        <v>35700</v>
      </c>
      <c r="G6">
        <v>455250</v>
      </c>
      <c r="H6">
        <v>0</v>
      </c>
      <c r="I6" s="3">
        <f>$F$6/12</f>
        <v>2975</v>
      </c>
      <c r="J6">
        <f t="shared" ref="J6:S6" si="8">$F$6/12</f>
        <v>2975</v>
      </c>
      <c r="K6">
        <f t="shared" si="8"/>
        <v>2975</v>
      </c>
      <c r="L6">
        <f t="shared" si="8"/>
        <v>2975</v>
      </c>
      <c r="M6">
        <f t="shared" si="8"/>
        <v>2975</v>
      </c>
      <c r="N6">
        <f t="shared" si="8"/>
        <v>2975</v>
      </c>
      <c r="O6">
        <f t="shared" si="8"/>
        <v>2975</v>
      </c>
      <c r="P6">
        <f t="shared" si="8"/>
        <v>2975</v>
      </c>
      <c r="Q6">
        <f t="shared" si="8"/>
        <v>2975</v>
      </c>
      <c r="R6">
        <f t="shared" si="8"/>
        <v>2975</v>
      </c>
      <c r="S6">
        <f t="shared" si="8"/>
        <v>2975</v>
      </c>
      <c r="T6" s="2">
        <f>$F$6-SUM(I6:S6)</f>
        <v>2975</v>
      </c>
      <c r="U6" s="2">
        <f>$G$6/12</f>
        <v>37937.5</v>
      </c>
      <c r="V6" s="2">
        <f t="shared" ref="V6:AE6" si="9">$G$6/12</f>
        <v>37937.5</v>
      </c>
      <c r="W6" s="2">
        <f t="shared" si="9"/>
        <v>37937.5</v>
      </c>
      <c r="X6" s="2">
        <f t="shared" si="9"/>
        <v>37937.5</v>
      </c>
      <c r="Y6" s="2">
        <f t="shared" si="9"/>
        <v>37937.5</v>
      </c>
      <c r="Z6" s="2">
        <f t="shared" si="9"/>
        <v>37937.5</v>
      </c>
      <c r="AA6" s="2">
        <f t="shared" si="9"/>
        <v>37937.5</v>
      </c>
      <c r="AB6" s="2">
        <f t="shared" si="9"/>
        <v>37937.5</v>
      </c>
      <c r="AC6" s="2">
        <f t="shared" si="9"/>
        <v>37937.5</v>
      </c>
      <c r="AD6" s="2">
        <f t="shared" si="9"/>
        <v>37937.5</v>
      </c>
      <c r="AE6" s="2">
        <f t="shared" si="9"/>
        <v>37937.5</v>
      </c>
      <c r="AF6" s="2">
        <f>$G$6-SUM(U6:AE6)</f>
        <v>37937.5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Hafid Gunawan</dc:creator>
  <cp:lastModifiedBy>Abdul Hafid Gunawan</cp:lastModifiedBy>
  <dcterms:created xsi:type="dcterms:W3CDTF">2024-05-20T03:19:05Z</dcterms:created>
  <dcterms:modified xsi:type="dcterms:W3CDTF">2024-06-25T02:24:08Z</dcterms:modified>
</cp:coreProperties>
</file>