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data\Downloads\"/>
    </mc:Choice>
  </mc:AlternateContent>
  <xr:revisionPtr revIDLastSave="0" documentId="13_ncr:40009_{D6846FDE-975C-4D92-A1B6-C893B1BECF44}" xr6:coauthVersionLast="47" xr6:coauthVersionMax="47" xr10:uidLastSave="{00000000-0000-0000-0000-000000000000}"/>
  <bookViews>
    <workbookView xWindow="-108" yWindow="-108" windowWidth="23256" windowHeight="12456"/>
  </bookViews>
  <sheets>
    <sheet name="formuploadbgtkebun" sheetId="1" r:id="rId1"/>
  </sheets>
  <definedNames>
    <definedName name="_xlnm._FilterDatabase" localSheetId="0" hidden="1">formuploadbgtkebun!$A$1:$Q$1</definedName>
  </definedNames>
  <calcPr calcId="0"/>
</workbook>
</file>

<file path=xl/calcChain.xml><?xml version="1.0" encoding="utf-8"?>
<calcChain xmlns="http://schemas.openxmlformats.org/spreadsheetml/2006/main">
  <c r="K5" i="1" l="1"/>
  <c r="K6" i="1"/>
  <c r="Q2" i="1"/>
  <c r="K4" i="1"/>
  <c r="P4" i="1" s="1"/>
  <c r="K3" i="1"/>
  <c r="P3" i="1" s="1"/>
  <c r="K2" i="1"/>
</calcChain>
</file>

<file path=xl/sharedStrings.xml><?xml version="1.0" encoding="utf-8"?>
<sst xmlns="http://schemas.openxmlformats.org/spreadsheetml/2006/main" count="50" uniqueCount="35">
  <si>
    <t>kodebudget</t>
  </si>
  <si>
    <t>kegiatan</t>
  </si>
  <si>
    <t>aruskas</t>
  </si>
  <si>
    <t>volume</t>
  </si>
  <si>
    <t>rupiah</t>
  </si>
  <si>
    <t>kodevhc</t>
  </si>
  <si>
    <t>kodebarang</t>
  </si>
  <si>
    <t>rotasi</t>
  </si>
  <si>
    <t>jumlah</t>
  </si>
  <si>
    <t>KONTRAK</t>
  </si>
  <si>
    <t>HA</t>
  </si>
  <si>
    <t>HK</t>
  </si>
  <si>
    <t>SDM-PHL</t>
  </si>
  <si>
    <t>TOOL</t>
  </si>
  <si>
    <t>VHC</t>
  </si>
  <si>
    <t>HM</t>
  </si>
  <si>
    <t>divisi</t>
  </si>
  <si>
    <t>sat_volume</t>
  </si>
  <si>
    <t>sat_jumlah</t>
  </si>
  <si>
    <t>MATERIAL</t>
  </si>
  <si>
    <t>tt</t>
  </si>
  <si>
    <t>nama_kegiatan</t>
  </si>
  <si>
    <t>nama_aruskas</t>
  </si>
  <si>
    <t>nama_barang</t>
  </si>
  <si>
    <t>tahun</t>
  </si>
  <si>
    <t>KSPE01</t>
  </si>
  <si>
    <t>KSPETL0003</t>
  </si>
  <si>
    <t>LTR</t>
  </si>
  <si>
    <t>UNIT</t>
  </si>
  <si>
    <t>CIRCLE/PATH SPRAYING</t>
  </si>
  <si>
    <t>ISOPROPILAMINA GLIFOSAT 480 g/l UK. 20 LTR @ BTL</t>
  </si>
  <si>
    <t>KNAPSACK SPRAYER INTER 16 GREEN</t>
  </si>
  <si>
    <t>General Material</t>
  </si>
  <si>
    <t>Chemical</t>
  </si>
  <si>
    <t>Weeding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</si>
</sst>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Font="1"/>
    <xf numFmtId="0" fontId="16" fillId="33" borderId="0" xfId="0" applyFont="1" applyFill="1" applyAlignment="1">
      <alignment horizontal="center"/>
    </xf>
    <xf numFmtId="0" fontId="0" fillId="33" borderId="0" xfId="0" applyFont="1" applyFill="1"/>
    <xf numFmtId="0" fontId="16" fillId="34" borderId="0" xfId="0" applyFont="1" applyFill="1" applyAlignment="1">
      <alignment horizontal="center"/>
    </xf>
    <xf numFmtId="0" fontId="0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C7" sqref="A7:XFD11"/>
    </sheetView>
  </sheetViews>
  <sheetFormatPr defaultRowHeight="14.4" x14ac:dyDescent="0.3"/>
  <cols>
    <col min="1" max="1" width="5.6640625" style="2" bestFit="1" customWidth="1"/>
    <col min="2" max="2" width="6.88671875" style="2" bestFit="1" customWidth="1"/>
    <col min="3" max="3" width="5" style="2" bestFit="1" customWidth="1"/>
    <col min="4" max="4" width="10" style="2" bestFit="1" customWidth="1"/>
    <col min="5" max="5" width="20.77734375" style="2" bestFit="1" customWidth="1"/>
    <col min="6" max="6" width="7.109375" style="2" bestFit="1" customWidth="1"/>
    <col min="7" max="7" width="12.6640625" style="2" bestFit="1" customWidth="1"/>
    <col min="8" max="8" width="10.5546875" style="2" bestFit="1" customWidth="1"/>
    <col min="9" max="9" width="5.6640625" style="2" bestFit="1" customWidth="1"/>
    <col min="10" max="10" width="10.44140625" style="2" bestFit="1" customWidth="1"/>
    <col min="11" max="11" width="7" style="2" bestFit="1" customWidth="1"/>
    <col min="12" max="12" width="10.5546875" style="2" bestFit="1" customWidth="1"/>
    <col min="13" max="13" width="45.5546875" style="2" bestFit="1" customWidth="1"/>
    <col min="14" max="14" width="10.77734375" style="2" bestFit="1" customWidth="1"/>
    <col min="15" max="15" width="9.88671875" style="2" bestFit="1" customWidth="1"/>
    <col min="16" max="16" width="6.44140625" style="2" bestFit="1" customWidth="1"/>
    <col min="17" max="17" width="9" style="2" bestFit="1" customWidth="1"/>
    <col min="18" max="18" width="10.5546875" style="2" customWidth="1"/>
    <col min="19" max="16384" width="8.88671875" style="2"/>
  </cols>
  <sheetData>
    <row r="1" spans="1:17" s="1" customFormat="1" x14ac:dyDescent="0.3">
      <c r="A1" s="1" t="s">
        <v>24</v>
      </c>
      <c r="B1" s="1" t="s">
        <v>16</v>
      </c>
      <c r="C1" s="3" t="s">
        <v>20</v>
      </c>
      <c r="D1" s="1" t="s">
        <v>1</v>
      </c>
      <c r="E1" s="5" t="s">
        <v>21</v>
      </c>
      <c r="F1" s="1" t="s">
        <v>2</v>
      </c>
      <c r="G1" s="5" t="s">
        <v>22</v>
      </c>
      <c r="H1" s="1" t="s">
        <v>0</v>
      </c>
      <c r="I1" s="1" t="s">
        <v>7</v>
      </c>
      <c r="J1" s="1" t="s">
        <v>17</v>
      </c>
      <c r="K1" s="1" t="s">
        <v>3</v>
      </c>
      <c r="L1" s="1" t="s">
        <v>6</v>
      </c>
      <c r="M1" s="5" t="s">
        <v>23</v>
      </c>
      <c r="N1" s="1" t="s">
        <v>5</v>
      </c>
      <c r="O1" s="5" t="s">
        <v>18</v>
      </c>
      <c r="P1" s="1" t="s">
        <v>8</v>
      </c>
      <c r="Q1" s="1" t="s">
        <v>4</v>
      </c>
    </row>
    <row r="2" spans="1:17" x14ac:dyDescent="0.3">
      <c r="A2" s="2">
        <v>2020</v>
      </c>
      <c r="B2" s="2" t="s">
        <v>25</v>
      </c>
      <c r="C2" s="4">
        <v>1991</v>
      </c>
      <c r="D2" s="2">
        <v>621010106</v>
      </c>
      <c r="E2" s="6" t="s">
        <v>29</v>
      </c>
      <c r="F2" s="2">
        <v>119007</v>
      </c>
      <c r="G2" s="6" t="s">
        <v>32</v>
      </c>
      <c r="H2" s="2" t="s">
        <v>9</v>
      </c>
      <c r="I2" s="2">
        <v>3</v>
      </c>
      <c r="J2" s="2" t="s">
        <v>10</v>
      </c>
      <c r="K2" s="2">
        <f>193*3</f>
        <v>579</v>
      </c>
      <c r="M2" s="6"/>
      <c r="O2" s="6" t="s">
        <v>10</v>
      </c>
      <c r="P2" s="2">
        <v>200</v>
      </c>
      <c r="Q2" s="2">
        <f>P2*60000</f>
        <v>12000000</v>
      </c>
    </row>
    <row r="3" spans="1:17" x14ac:dyDescent="0.3">
      <c r="A3" s="2">
        <v>2020</v>
      </c>
      <c r="B3" s="2" t="s">
        <v>25</v>
      </c>
      <c r="C3" s="4">
        <v>1991</v>
      </c>
      <c r="D3" s="2">
        <v>621010106</v>
      </c>
      <c r="E3" s="6" t="s">
        <v>29</v>
      </c>
      <c r="F3" s="2">
        <v>119001</v>
      </c>
      <c r="G3" s="6" t="s">
        <v>33</v>
      </c>
      <c r="H3" s="2" t="s">
        <v>19</v>
      </c>
      <c r="I3" s="2">
        <v>3</v>
      </c>
      <c r="J3" s="2" t="s">
        <v>10</v>
      </c>
      <c r="K3" s="2">
        <f t="shared" ref="K3:K6" si="0">193*3</f>
        <v>579</v>
      </c>
      <c r="L3" s="2">
        <v>312020010</v>
      </c>
      <c r="M3" s="6" t="s">
        <v>30</v>
      </c>
      <c r="O3" s="6" t="s">
        <v>27</v>
      </c>
      <c r="P3" s="2">
        <f>K3*0.5</f>
        <v>289.5</v>
      </c>
      <c r="Q3" s="2">
        <v>614012</v>
      </c>
    </row>
    <row r="4" spans="1:17" x14ac:dyDescent="0.3">
      <c r="A4" s="2">
        <v>2020</v>
      </c>
      <c r="B4" s="2" t="s">
        <v>25</v>
      </c>
      <c r="C4" s="4">
        <v>1991</v>
      </c>
      <c r="D4" s="2">
        <v>621010106</v>
      </c>
      <c r="E4" s="6" t="s">
        <v>29</v>
      </c>
      <c r="F4" s="2">
        <v>111001</v>
      </c>
      <c r="G4" s="6" t="s">
        <v>34</v>
      </c>
      <c r="H4" s="2" t="s">
        <v>12</v>
      </c>
      <c r="I4" s="2">
        <v>3</v>
      </c>
      <c r="J4" s="2" t="s">
        <v>10</v>
      </c>
      <c r="K4" s="2">
        <f t="shared" si="0"/>
        <v>579</v>
      </c>
      <c r="M4" s="6"/>
      <c r="O4" s="6" t="s">
        <v>11</v>
      </c>
      <c r="P4" s="2">
        <f>K4*0.5</f>
        <v>289.5</v>
      </c>
      <c r="Q4" s="2">
        <v>3285009</v>
      </c>
    </row>
    <row r="5" spans="1:17" x14ac:dyDescent="0.3">
      <c r="A5" s="2">
        <v>2020</v>
      </c>
      <c r="B5" s="2" t="s">
        <v>25</v>
      </c>
      <c r="C5" s="4">
        <v>1991</v>
      </c>
      <c r="D5" s="2">
        <v>621010106</v>
      </c>
      <c r="E5" s="6" t="s">
        <v>29</v>
      </c>
      <c r="F5" s="2">
        <v>111001</v>
      </c>
      <c r="G5" s="6" t="s">
        <v>34</v>
      </c>
      <c r="H5" s="2" t="s">
        <v>13</v>
      </c>
      <c r="I5" s="2">
        <v>3</v>
      </c>
      <c r="J5" s="2" t="s">
        <v>10</v>
      </c>
      <c r="K5" s="2">
        <f t="shared" si="0"/>
        <v>579</v>
      </c>
      <c r="L5" s="2">
        <v>361010026</v>
      </c>
      <c r="M5" s="6" t="s">
        <v>31</v>
      </c>
      <c r="O5" s="6" t="s">
        <v>28</v>
      </c>
      <c r="P5" s="2">
        <v>2</v>
      </c>
      <c r="Q5" s="2">
        <v>104652</v>
      </c>
    </row>
    <row r="6" spans="1:17" x14ac:dyDescent="0.3">
      <c r="A6" s="2">
        <v>2020</v>
      </c>
      <c r="B6" s="2" t="s">
        <v>25</v>
      </c>
      <c r="C6" s="4">
        <v>1991</v>
      </c>
      <c r="D6" s="2">
        <v>621010106</v>
      </c>
      <c r="E6" s="6" t="s">
        <v>29</v>
      </c>
      <c r="F6" s="2">
        <v>119007</v>
      </c>
      <c r="G6" s="6" t="s">
        <v>32</v>
      </c>
      <c r="H6" s="2" t="s">
        <v>14</v>
      </c>
      <c r="I6" s="2">
        <v>3</v>
      </c>
      <c r="J6" s="2" t="s">
        <v>10</v>
      </c>
      <c r="K6" s="2">
        <f t="shared" si="0"/>
        <v>579</v>
      </c>
      <c r="M6" s="6"/>
      <c r="N6" s="2" t="s">
        <v>26</v>
      </c>
      <c r="O6" s="6" t="s">
        <v>15</v>
      </c>
      <c r="P6" s="2">
        <v>50</v>
      </c>
      <c r="Q6" s="2">
        <v>65882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formuploadbgtkebun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Ujang Haryanto</cp:lastModifiedBy>
  <dcterms:created xsi:type="dcterms:W3CDTF">2021-11-13T04:18:52Z</dcterms:created>
  <dcterms:modified xsi:type="dcterms:W3CDTF">2021-11-14T08:39:27Z</dcterms:modified>
</cp:coreProperties>
</file>