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ww\ksp\fileupload\"/>
    </mc:Choice>
  </mc:AlternateContent>
  <xr:revisionPtr revIDLastSave="0" documentId="8_{9CC4D83E-373D-4002-B0E6-2B36557C8CCF}" xr6:coauthVersionLast="45" xr6:coauthVersionMax="45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Simulasi Panen" sheetId="1" state="hidden" r:id="rId1"/>
    <sheet name="Simulasi Panen 1" sheetId="2" r:id="rId2"/>
  </sheets>
  <definedNames>
    <definedName name="_xlnm.Print_Area" localSheetId="0">'Simulasi Panen'!$A$1:$P$82</definedName>
    <definedName name="_xlnm.Print_Area" localSheetId="1">'Simulasi Panen 1'!$A$1:$W$82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3" i="2" l="1"/>
  <c r="U48" i="2"/>
  <c r="U35" i="2"/>
  <c r="T59" i="2"/>
  <c r="T36" i="2" l="1"/>
  <c r="S59" i="2" l="1"/>
  <c r="S36" i="2" l="1"/>
  <c r="Q36" i="2" l="1"/>
  <c r="U36" i="2" s="1"/>
  <c r="R59" i="2" l="1"/>
  <c r="U59" i="2" s="1"/>
  <c r="D76" i="2" l="1"/>
  <c r="I73" i="2"/>
  <c r="F73" i="2"/>
  <c r="H73" i="2" s="1"/>
  <c r="L73" i="2" s="1"/>
  <c r="L76" i="2" s="1"/>
  <c r="M72" i="2"/>
  <c r="N72" i="2" s="1"/>
  <c r="O72" i="2" s="1"/>
  <c r="H72" i="2"/>
  <c r="L72" i="2" s="1"/>
  <c r="M71" i="2"/>
  <c r="N71" i="2" s="1"/>
  <c r="H71" i="2"/>
  <c r="L71" i="2" s="1"/>
  <c r="D64" i="2"/>
  <c r="M60" i="2"/>
  <c r="N60" i="2" s="1"/>
  <c r="O60" i="2" s="1"/>
  <c r="H60" i="2"/>
  <c r="L60" i="2" s="1"/>
  <c r="K59" i="2"/>
  <c r="F59" i="2"/>
  <c r="H59" i="2" s="1"/>
  <c r="D52" i="2"/>
  <c r="M48" i="2"/>
  <c r="N48" i="2" s="1"/>
  <c r="I48" i="2"/>
  <c r="L48" i="2" s="1"/>
  <c r="L52" i="2" s="1"/>
  <c r="H48" i="2"/>
  <c r="D48" i="2"/>
  <c r="D39" i="2"/>
  <c r="D38" i="2"/>
  <c r="N36" i="2"/>
  <c r="M36" i="2"/>
  <c r="J36" i="2"/>
  <c r="H36" i="2"/>
  <c r="L36" i="2" s="1"/>
  <c r="L39" i="2" s="1"/>
  <c r="D36" i="2"/>
  <c r="J35" i="2"/>
  <c r="F35" i="2"/>
  <c r="M35" i="2" s="1"/>
  <c r="N35" i="2" s="1"/>
  <c r="F14" i="2"/>
  <c r="F13" i="2"/>
  <c r="F12" i="2"/>
  <c r="M59" i="2" l="1"/>
  <c r="N59" i="2" s="1"/>
  <c r="O71" i="2"/>
  <c r="L59" i="2"/>
  <c r="L64" i="2" s="1"/>
  <c r="O48" i="2"/>
  <c r="O36" i="2"/>
  <c r="M73" i="2"/>
  <c r="N73" i="2" s="1"/>
  <c r="O73" i="2" s="1"/>
  <c r="H35" i="2"/>
  <c r="L35" i="2" s="1"/>
  <c r="L38" i="2" s="1"/>
  <c r="D76" i="1"/>
  <c r="I73" i="1"/>
  <c r="F73" i="1"/>
  <c r="H73" i="1" s="1"/>
  <c r="L73" i="1" s="1"/>
  <c r="L76" i="1" s="1"/>
  <c r="M72" i="1"/>
  <c r="N72" i="1" s="1"/>
  <c r="H72" i="1"/>
  <c r="L72" i="1" s="1"/>
  <c r="M71" i="1"/>
  <c r="N71" i="1" s="1"/>
  <c r="H71" i="1"/>
  <c r="L71" i="1" s="1"/>
  <c r="D64" i="1"/>
  <c r="M60" i="1"/>
  <c r="N60" i="1" s="1"/>
  <c r="O60" i="1" s="1"/>
  <c r="H60" i="1"/>
  <c r="L60" i="1" s="1"/>
  <c r="K59" i="1"/>
  <c r="F59" i="1"/>
  <c r="H59" i="1" s="1"/>
  <c r="D52" i="1"/>
  <c r="M48" i="1"/>
  <c r="N48" i="1" s="1"/>
  <c r="I48" i="1"/>
  <c r="L48" i="1" s="1"/>
  <c r="L52" i="1" s="1"/>
  <c r="H48" i="1"/>
  <c r="D48" i="1"/>
  <c r="D39" i="1"/>
  <c r="D38" i="1"/>
  <c r="N36" i="1"/>
  <c r="M36" i="1"/>
  <c r="J36" i="1"/>
  <c r="H36" i="1"/>
  <c r="D36" i="1"/>
  <c r="J35" i="1"/>
  <c r="F35" i="1"/>
  <c r="M35" i="1" s="1"/>
  <c r="N35" i="1" s="1"/>
  <c r="F14" i="1"/>
  <c r="F13" i="1"/>
  <c r="F12" i="1"/>
  <c r="M59" i="1" l="1"/>
  <c r="N59" i="1" s="1"/>
  <c r="O59" i="2"/>
  <c r="O64" i="2" s="1"/>
  <c r="L36" i="1"/>
  <c r="L39" i="1" s="1"/>
  <c r="L59" i="1"/>
  <c r="L64" i="1" s="1"/>
  <c r="P59" i="2"/>
  <c r="V59" i="2" s="1"/>
  <c r="W59" i="2" s="1"/>
  <c r="O35" i="2"/>
  <c r="P73" i="2"/>
  <c r="V73" i="2" s="1"/>
  <c r="W73" i="2" s="1"/>
  <c r="O76" i="2"/>
  <c r="P36" i="2"/>
  <c r="V36" i="2" s="1"/>
  <c r="W36" i="2" s="1"/>
  <c r="O39" i="2"/>
  <c r="O52" i="2"/>
  <c r="P48" i="2"/>
  <c r="V48" i="2" s="1"/>
  <c r="W48" i="2" s="1"/>
  <c r="O48" i="1"/>
  <c r="O36" i="1"/>
  <c r="O71" i="1"/>
  <c r="O72" i="1"/>
  <c r="M73" i="1"/>
  <c r="N73" i="1" s="1"/>
  <c r="O73" i="1" s="1"/>
  <c r="H35" i="1"/>
  <c r="L35" i="1" s="1"/>
  <c r="L38" i="1" s="1"/>
  <c r="O59" i="1" l="1"/>
  <c r="O38" i="2"/>
  <c r="P35" i="2"/>
  <c r="V35" i="2" s="1"/>
  <c r="W35" i="2" s="1"/>
  <c r="O35" i="1"/>
  <c r="O64" i="1"/>
  <c r="P59" i="1"/>
  <c r="O39" i="1"/>
  <c r="P36" i="1"/>
  <c r="O76" i="1"/>
  <c r="P73" i="1"/>
  <c r="O52" i="1"/>
  <c r="P48" i="1"/>
  <c r="O38" i="1" l="1"/>
  <c r="P35" i="1"/>
</calcChain>
</file>

<file path=xl/sharedStrings.xml><?xml version="1.0" encoding="utf-8"?>
<sst xmlns="http://schemas.openxmlformats.org/spreadsheetml/2006/main" count="322" uniqueCount="72">
  <si>
    <t>Simulasi Biaya Panen</t>
  </si>
  <si>
    <t>Telah dilakukan pertemuan dengan para GM Region, SPE dan Plantation Controller untuk membahas dan merumuskan pola pengupahan dari pekerjaan panen.</t>
  </si>
  <si>
    <t>Perlu keseragaman dalam menentukan upah Panen disemua Estate dan Region di KSP Group</t>
  </si>
  <si>
    <t>Upah panen per pekerja tidak boleh kurang atau dibawah upah UMK (Upah Minimum Kabupaten) per bulannya.</t>
  </si>
  <si>
    <t xml:space="preserve">Untuk mengakomodir kebetuhan dalam implementasi program OWL </t>
  </si>
  <si>
    <t>Dengan ini disampaikan sebagai berikut :</t>
  </si>
  <si>
    <t>A</t>
  </si>
  <si>
    <t>Upah Minimum Kabupaten (UMK) tahun 2019</t>
  </si>
  <si>
    <t>Sebulan</t>
  </si>
  <si>
    <t>Perhari</t>
  </si>
  <si>
    <t>Kabupaten Sintang</t>
  </si>
  <si>
    <t xml:space="preserve">Rp. </t>
  </si>
  <si>
    <t>Kabupaten Melawai</t>
  </si>
  <si>
    <t>Kabupaten Sekadau</t>
  </si>
  <si>
    <t>B</t>
  </si>
  <si>
    <t>Tarif upah Pemanen, Kerani Panen, Mandor Panen dan Mandor 1</t>
  </si>
  <si>
    <t>UMUR TANAMAN (Tahun)</t>
  </si>
  <si>
    <t>ONGKOS PANEN (Rp/Kg)</t>
  </si>
  <si>
    <t>PREMI KEHADIRAN PEMANEN (Rp/Hari), LAHAN/TANAH</t>
  </si>
  <si>
    <t>BRONDOLAN (Rp/Kg)</t>
  </si>
  <si>
    <t>PREMI MANDOR PANEN</t>
  </si>
  <si>
    <t>PREMI KERANI PANEN</t>
  </si>
  <si>
    <t>PREMI MANDOR 1</t>
  </si>
  <si>
    <t>TANAH / LAHAN</t>
  </si>
  <si>
    <t>KEHADIRAN (Rp/Hari)</t>
  </si>
  <si>
    <t>KEHADIRAN HARI LIBUR NASIONAL (Rp/Hari)</t>
  </si>
  <si>
    <t>TONASE (Rp/Kg)</t>
  </si>
  <si>
    <t>DATAR</t>
  </si>
  <si>
    <t>BERBUKIT</t>
  </si>
  <si>
    <t>GAMBUT</t>
  </si>
  <si>
    <t>3-14</t>
  </si>
  <si>
    <t>RATA-RATA PENGHASILAN PREMI MANDOR PANEN YG DIAWASI per bulan * 0,75</t>
  </si>
  <si>
    <t xml:space="preserve">RATA-RATA PENGHASILAN PREMI MANDOR PANEN YG DIAWASI per bulan * 1,5 </t>
  </si>
  <si>
    <t>15-19</t>
  </si>
  <si>
    <t>20-23</t>
  </si>
  <si>
    <t>24 s/d 27</t>
  </si>
  <si>
    <t>&gt;27</t>
  </si>
  <si>
    <t>C</t>
  </si>
  <si>
    <t>Simulasi</t>
  </si>
  <si>
    <t>1. KSP &amp; KBP</t>
  </si>
  <si>
    <t>Nama Pemanen</t>
  </si>
  <si>
    <t>UMUR TANAMAN</t>
  </si>
  <si>
    <t>Jumlah Kg Panen</t>
  </si>
  <si>
    <t>Jumlah Rp Panen</t>
  </si>
  <si>
    <t>PREMI KEHADIRAN PEMANEN (Rp/Hari)</t>
  </si>
  <si>
    <t>Jumlah Rp. Panen &amp; Kehadiran</t>
  </si>
  <si>
    <t>Jumlah Penerimaan Pemanen</t>
  </si>
  <si>
    <t>Biaya Rp/Kg</t>
  </si>
  <si>
    <t>Jumlah Tandan</t>
  </si>
  <si>
    <t>BJR</t>
  </si>
  <si>
    <t>Total Kg</t>
  </si>
  <si>
    <t>`</t>
  </si>
  <si>
    <t xml:space="preserve">1. Ali </t>
  </si>
  <si>
    <t>2. Badu</t>
  </si>
  <si>
    <t>Catatan :</t>
  </si>
  <si>
    <t>Bahwa simulasi di atas adalah hitungan harian, Bila di sebulankan menjadi :</t>
  </si>
  <si>
    <t xml:space="preserve">2. BPJ </t>
  </si>
  <si>
    <t>1. Ahmad</t>
  </si>
  <si>
    <t>3. SNIP</t>
  </si>
  <si>
    <t>1. Surip</t>
  </si>
  <si>
    <t>4. SDK</t>
  </si>
  <si>
    <t>1. Didu</t>
  </si>
  <si>
    <t>Demikian disampaikan sebagai resume dari pertemuan perihal pembahasan penentuan keseragaman upah panen untuk di KSP Agro.</t>
  </si>
  <si>
    <t>Batu Buil, 11 Mei 2019</t>
  </si>
  <si>
    <t>Jan</t>
  </si>
  <si>
    <t>Feb</t>
  </si>
  <si>
    <t>Mar</t>
  </si>
  <si>
    <t>April</t>
  </si>
  <si>
    <t>Actual 2019 (Rp./Kg.)</t>
  </si>
  <si>
    <t>Average</t>
  </si>
  <si>
    <t>Over/Under (+/-)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</si>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</sst>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_);_(* \(#,##0\);_(* &quot;-&quot;?_);_(@_)"/>
    <numFmt numFmtId="167" formatCode="_(* #,##0.00_);_(* \(#,##0.00\);_(* &quot;-&quot;?_);_(@_)"/>
    <numFmt numFmtId="168" formatCode="0.00_);\(0.0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 applyFont="1"/>
    <xf numFmtId="164" fontId="0" fillId="0" borderId="0" xfId="1" applyNumberFormat="1" applyFont="1"/>
    <xf numFmtId="3" fontId="2" fillId="0" borderId="0" xfId="0" applyNumberFormat="1" applyFont="1"/>
    <xf numFmtId="3" fontId="0" fillId="0" borderId="0" xfId="0" applyNumberForma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" fontId="0" fillId="0" borderId="2" xfId="0" quotePrefix="1" applyNumberFormat="1" applyBorder="1" applyAlignment="1">
      <alignment horizontal="center" vertical="center"/>
    </xf>
    <xf numFmtId="37" fontId="0" fillId="0" borderId="11" xfId="1" applyNumberFormat="1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0" fontId="2" fillId="5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37" fontId="2" fillId="5" borderId="11" xfId="1" applyNumberFormat="1" applyFont="1" applyFill="1" applyBorder="1" applyAlignment="1">
      <alignment horizontal="center"/>
    </xf>
    <xf numFmtId="165" fontId="2" fillId="5" borderId="11" xfId="2" applyNumberFormat="1" applyFont="1" applyFill="1" applyBorder="1" applyAlignment="1">
      <alignment horizontal="center" vertical="center" wrapText="1"/>
    </xf>
    <xf numFmtId="0" fontId="2" fillId="5" borderId="11" xfId="2" applyNumberFormat="1" applyFont="1" applyFill="1" applyBorder="1" applyAlignment="1">
      <alignment horizontal="center" vertical="center" wrapText="1"/>
    </xf>
    <xf numFmtId="0" fontId="2" fillId="0" borderId="11" xfId="0" applyFont="1" applyBorder="1"/>
    <xf numFmtId="16" fontId="0" fillId="0" borderId="11" xfId="0" quotePrefix="1" applyNumberFormat="1" applyBorder="1" applyAlignment="1">
      <alignment horizontal="center" vertical="center"/>
    </xf>
    <xf numFmtId="0" fontId="0" fillId="0" borderId="11" xfId="0" applyBorder="1"/>
    <xf numFmtId="0" fontId="0" fillId="0" borderId="11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1" xfId="1" applyNumberFormat="1" applyFont="1" applyBorder="1"/>
    <xf numFmtId="164" fontId="0" fillId="0" borderId="11" xfId="0" applyNumberFormat="1" applyBorder="1"/>
    <xf numFmtId="37" fontId="0" fillId="0" borderId="11" xfId="0" applyNumberFormat="1" applyBorder="1"/>
    <xf numFmtId="166" fontId="0" fillId="0" borderId="11" xfId="0" applyNumberFormat="1" applyBorder="1"/>
    <xf numFmtId="2" fontId="0" fillId="0" borderId="11" xfId="0" applyNumberFormat="1" applyBorder="1"/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43" fontId="0" fillId="0" borderId="11" xfId="1" applyFont="1" applyBorder="1"/>
    <xf numFmtId="167" fontId="0" fillId="0" borderId="11" xfId="0" applyNumberFormat="1" applyBorder="1"/>
    <xf numFmtId="164" fontId="0" fillId="0" borderId="0" xfId="0" applyNumberFormat="1"/>
    <xf numFmtId="43" fontId="0" fillId="0" borderId="0" xfId="0" applyNumberFormat="1"/>
    <xf numFmtId="0" fontId="0" fillId="0" borderId="2" xfId="0" applyBorder="1"/>
    <xf numFmtId="2" fontId="0" fillId="0" borderId="2" xfId="0" applyNumberFormat="1" applyBorder="1"/>
    <xf numFmtId="0" fontId="0" fillId="0" borderId="15" xfId="0" applyBorder="1"/>
    <xf numFmtId="43" fontId="0" fillId="0" borderId="2" xfId="1" applyFont="1" applyBorder="1"/>
    <xf numFmtId="167" fontId="0" fillId="0" borderId="2" xfId="0" applyNumberFormat="1" applyBorder="1"/>
    <xf numFmtId="168" fontId="0" fillId="0" borderId="11" xfId="0" applyNumberFormat="1" applyBorder="1"/>
    <xf numFmtId="165" fontId="0" fillId="0" borderId="11" xfId="2" applyNumberFormat="1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7" xfId="1" applyNumberFormat="1" applyFont="1" applyBorder="1" applyAlignment="1">
      <alignment horizontal="center" vertical="center"/>
    </xf>
    <xf numFmtId="0" fontId="2" fillId="0" borderId="8" xfId="1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37" fontId="2" fillId="0" borderId="11" xfId="1" applyNumberFormat="1" applyFont="1" applyFill="1" applyBorder="1" applyAlignment="1">
      <alignment horizontal="center" vertical="center" wrapText="1"/>
    </xf>
    <xf numFmtId="37" fontId="2" fillId="0" borderId="11" xfId="1" applyNumberFormat="1" applyFont="1" applyFill="1" applyBorder="1" applyAlignment="1">
      <alignment horizontal="center" vertical="center"/>
    </xf>
    <xf numFmtId="37" fontId="2" fillId="0" borderId="11" xfId="1" applyNumberFormat="1" applyFont="1" applyBorder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81"/>
  <sheetViews>
    <sheetView topLeftCell="A16" zoomScale="80" zoomScaleNormal="80" workbookViewId="0">
      <selection activeCell="R37" sqref="R37"/>
    </sheetView>
  </sheetViews>
  <sheetFormatPr defaultRowHeight="14.4" x14ac:dyDescent="0.3"/>
  <cols>
    <col min="1" max="1" width="3.88671875" customWidth="1"/>
    <col min="2" max="2" width="10.88671875" customWidth="1"/>
    <col min="3" max="3" width="10.33203125" customWidth="1"/>
    <col min="4" max="4" width="9" customWidth="1"/>
    <col min="5" max="5" width="10.33203125" customWidth="1"/>
    <col min="6" max="6" width="10.109375" customWidth="1"/>
    <col min="7" max="7" width="9.44140625" customWidth="1"/>
    <col min="8" max="8" width="12.6640625" customWidth="1"/>
    <col min="9" max="9" width="14" customWidth="1"/>
    <col min="10" max="10" width="12.5546875" customWidth="1"/>
    <col min="11" max="11" width="11.5546875" customWidth="1"/>
    <col min="12" max="12" width="12.5546875" customWidth="1"/>
    <col min="13" max="13" width="10.109375" customWidth="1"/>
    <col min="14" max="14" width="9.109375" customWidth="1"/>
    <col min="15" max="15" width="12" customWidth="1"/>
    <col min="16" max="16" width="8.6640625" customWidth="1"/>
    <col min="17" max="17" width="17.5546875" bestFit="1" customWidth="1"/>
    <col min="18" max="18" width="19.88671875" bestFit="1" customWidth="1"/>
    <col min="19" max="19" width="17.44140625" bestFit="1" customWidth="1"/>
    <col min="20" max="20" width="12.33203125" bestFit="1" customWidth="1"/>
    <col min="21" max="21" width="11.33203125" bestFit="1" customWidth="1"/>
    <col min="22" max="22" width="19.44140625" bestFit="1" customWidth="1"/>
  </cols>
  <sheetData>
    <row r="1" spans="1:11" ht="18" x14ac:dyDescent="0.35">
      <c r="A1" s="1" t="s">
        <v>0</v>
      </c>
    </row>
    <row r="3" spans="1:11" x14ac:dyDescent="0.3">
      <c r="A3" s="2">
        <v>1</v>
      </c>
      <c r="B3" t="s">
        <v>1</v>
      </c>
    </row>
    <row r="4" spans="1:11" x14ac:dyDescent="0.3">
      <c r="A4" s="2">
        <v>2</v>
      </c>
      <c r="B4" t="s">
        <v>2</v>
      </c>
    </row>
    <row r="5" spans="1:11" x14ac:dyDescent="0.3">
      <c r="A5" s="2">
        <v>3</v>
      </c>
      <c r="B5" t="s">
        <v>3</v>
      </c>
      <c r="E5" s="3"/>
      <c r="F5" s="3"/>
      <c r="J5" s="2"/>
      <c r="K5" s="2"/>
    </row>
    <row r="6" spans="1:11" x14ac:dyDescent="0.3">
      <c r="A6" s="2">
        <v>4</v>
      </c>
      <c r="B6" t="s">
        <v>4</v>
      </c>
      <c r="E6" s="3"/>
      <c r="F6" s="3"/>
      <c r="H6" s="4"/>
      <c r="I6" s="4"/>
      <c r="J6" s="2"/>
      <c r="K6" s="2"/>
    </row>
    <row r="7" spans="1:11" x14ac:dyDescent="0.3">
      <c r="A7" s="2"/>
      <c r="E7" s="3"/>
      <c r="F7" s="3"/>
      <c r="H7" s="4"/>
      <c r="I7" s="4"/>
      <c r="J7" s="2"/>
      <c r="K7" s="2"/>
    </row>
    <row r="8" spans="1:11" x14ac:dyDescent="0.3">
      <c r="A8" t="s">
        <v>5</v>
      </c>
      <c r="E8" s="3"/>
      <c r="F8" s="3"/>
      <c r="H8" s="4"/>
      <c r="I8" s="4"/>
      <c r="J8" s="2"/>
      <c r="K8" s="2"/>
    </row>
    <row r="9" spans="1:11" x14ac:dyDescent="0.3">
      <c r="E9" s="3"/>
      <c r="F9" s="3"/>
      <c r="H9" s="4"/>
      <c r="I9" s="4"/>
      <c r="J9" s="2"/>
      <c r="K9" s="2"/>
    </row>
    <row r="10" spans="1:11" x14ac:dyDescent="0.3">
      <c r="A10" s="4" t="s">
        <v>6</v>
      </c>
      <c r="B10" s="5" t="s">
        <v>7</v>
      </c>
      <c r="E10" s="3"/>
      <c r="F10" s="3"/>
      <c r="H10" s="104"/>
      <c r="I10" s="104"/>
      <c r="J10" s="2"/>
      <c r="K10" s="2"/>
    </row>
    <row r="11" spans="1:11" x14ac:dyDescent="0.3">
      <c r="E11" s="7" t="s">
        <v>8</v>
      </c>
      <c r="F11" s="7" t="s">
        <v>9</v>
      </c>
      <c r="H11" s="4"/>
      <c r="I11" s="4"/>
      <c r="J11" s="2"/>
      <c r="K11" s="2"/>
    </row>
    <row r="12" spans="1:11" x14ac:dyDescent="0.3">
      <c r="A12" s="2">
        <v>1</v>
      </c>
      <c r="B12" t="s">
        <v>10</v>
      </c>
      <c r="D12" s="2" t="s">
        <v>11</v>
      </c>
      <c r="E12" s="8">
        <v>2300930</v>
      </c>
      <c r="F12" s="9">
        <f>E12/25</f>
        <v>92037.2</v>
      </c>
      <c r="H12" s="5"/>
      <c r="I12" s="10"/>
      <c r="J12" s="11"/>
      <c r="K12" s="11"/>
    </row>
    <row r="13" spans="1:11" x14ac:dyDescent="0.3">
      <c r="A13" s="2">
        <v>2</v>
      </c>
      <c r="B13" t="s">
        <v>12</v>
      </c>
      <c r="D13" s="2" t="s">
        <v>11</v>
      </c>
      <c r="E13" s="8">
        <v>2288306</v>
      </c>
      <c r="F13" s="9">
        <f t="shared" ref="F13:F14" si="0">E13/25</f>
        <v>91532.24</v>
      </c>
      <c r="H13" s="5"/>
      <c r="I13" s="10"/>
      <c r="J13" s="11"/>
      <c r="K13" s="11"/>
    </row>
    <row r="14" spans="1:11" x14ac:dyDescent="0.3">
      <c r="A14" s="2">
        <v>3</v>
      </c>
      <c r="B14" t="s">
        <v>13</v>
      </c>
      <c r="D14" s="2" t="s">
        <v>11</v>
      </c>
      <c r="E14" s="8">
        <v>2267970</v>
      </c>
      <c r="F14" s="9">
        <f t="shared" si="0"/>
        <v>90718.8</v>
      </c>
      <c r="H14" s="5"/>
      <c r="I14" s="10"/>
      <c r="J14" s="11"/>
      <c r="K14" s="11"/>
    </row>
    <row r="15" spans="1:11" x14ac:dyDescent="0.3">
      <c r="A15" s="2"/>
      <c r="C15" s="8"/>
      <c r="D15" s="9"/>
      <c r="E15" s="3"/>
      <c r="F15" s="3"/>
      <c r="H15" s="5"/>
      <c r="I15" s="10"/>
      <c r="J15" s="11"/>
      <c r="K15" s="11"/>
    </row>
    <row r="16" spans="1:11" x14ac:dyDescent="0.3">
      <c r="A16" s="4" t="s">
        <v>14</v>
      </c>
      <c r="B16" s="5" t="s">
        <v>15</v>
      </c>
    </row>
    <row r="17" spans="1:18" ht="30" customHeight="1" x14ac:dyDescent="0.3">
      <c r="B17" s="105" t="s">
        <v>16</v>
      </c>
      <c r="C17" s="105" t="s">
        <v>17</v>
      </c>
      <c r="D17" s="108" t="s">
        <v>18</v>
      </c>
      <c r="E17" s="109"/>
      <c r="F17" s="110"/>
      <c r="G17" s="105" t="s">
        <v>19</v>
      </c>
      <c r="H17" s="111" t="s">
        <v>20</v>
      </c>
      <c r="I17" s="112"/>
      <c r="J17" s="113"/>
      <c r="K17" s="85" t="s">
        <v>21</v>
      </c>
      <c r="L17" s="86"/>
      <c r="M17" s="91" t="s">
        <v>22</v>
      </c>
      <c r="N17" s="92"/>
      <c r="R17" s="12"/>
    </row>
    <row r="18" spans="1:18" ht="31.5" customHeight="1" x14ac:dyDescent="0.3">
      <c r="B18" s="106"/>
      <c r="C18" s="106"/>
      <c r="D18" s="97" t="s">
        <v>23</v>
      </c>
      <c r="E18" s="98"/>
      <c r="F18" s="99"/>
      <c r="G18" s="107"/>
      <c r="H18" s="100" t="s">
        <v>24</v>
      </c>
      <c r="I18" s="102" t="s">
        <v>25</v>
      </c>
      <c r="J18" s="100" t="s">
        <v>26</v>
      </c>
      <c r="K18" s="87"/>
      <c r="L18" s="88"/>
      <c r="M18" s="93"/>
      <c r="N18" s="94"/>
      <c r="R18" s="13"/>
    </row>
    <row r="19" spans="1:18" ht="30" customHeight="1" x14ac:dyDescent="0.3">
      <c r="B19" s="107"/>
      <c r="C19" s="107"/>
      <c r="D19" s="14" t="s">
        <v>27</v>
      </c>
      <c r="E19" s="15" t="s">
        <v>28</v>
      </c>
      <c r="F19" s="15" t="s">
        <v>29</v>
      </c>
      <c r="G19" s="16"/>
      <c r="H19" s="101"/>
      <c r="I19" s="103"/>
      <c r="J19" s="101"/>
      <c r="K19" s="89"/>
      <c r="L19" s="90"/>
      <c r="M19" s="95"/>
      <c r="N19" s="96"/>
      <c r="R19" s="13"/>
    </row>
    <row r="20" spans="1:18" ht="15" customHeight="1" x14ac:dyDescent="0.3">
      <c r="B20" s="17" t="s">
        <v>30</v>
      </c>
      <c r="C20" s="18">
        <v>100</v>
      </c>
      <c r="D20" s="81">
        <v>6000</v>
      </c>
      <c r="E20" s="82">
        <v>8000</v>
      </c>
      <c r="F20" s="83">
        <v>9000</v>
      </c>
      <c r="G20" s="71">
        <v>250</v>
      </c>
      <c r="H20" s="84">
        <v>9000</v>
      </c>
      <c r="I20" s="83">
        <v>35000</v>
      </c>
      <c r="J20" s="71">
        <v>3</v>
      </c>
      <c r="K20" s="74" t="s">
        <v>31</v>
      </c>
      <c r="L20" s="75"/>
      <c r="M20" s="80" t="s">
        <v>32</v>
      </c>
      <c r="N20" s="80"/>
      <c r="R20" s="13"/>
    </row>
    <row r="21" spans="1:18" ht="15" customHeight="1" x14ac:dyDescent="0.3">
      <c r="B21" s="19" t="s">
        <v>33</v>
      </c>
      <c r="C21" s="18">
        <v>110</v>
      </c>
      <c r="D21" s="81"/>
      <c r="E21" s="82"/>
      <c r="F21" s="83"/>
      <c r="G21" s="72"/>
      <c r="H21" s="84"/>
      <c r="I21" s="83"/>
      <c r="J21" s="72"/>
      <c r="K21" s="76"/>
      <c r="L21" s="77"/>
      <c r="M21" s="80"/>
      <c r="N21" s="80"/>
      <c r="R21" s="13"/>
    </row>
    <row r="22" spans="1:18" x14ac:dyDescent="0.3">
      <c r="B22" s="19" t="s">
        <v>34</v>
      </c>
      <c r="C22" s="18">
        <v>115</v>
      </c>
      <c r="D22" s="81"/>
      <c r="E22" s="82"/>
      <c r="F22" s="83"/>
      <c r="G22" s="72"/>
      <c r="H22" s="84"/>
      <c r="I22" s="83"/>
      <c r="J22" s="72"/>
      <c r="K22" s="76"/>
      <c r="L22" s="77"/>
      <c r="M22" s="80"/>
      <c r="N22" s="80"/>
      <c r="R22" s="13"/>
    </row>
    <row r="23" spans="1:18" x14ac:dyDescent="0.3">
      <c r="B23" s="20" t="s">
        <v>35</v>
      </c>
      <c r="C23" s="18">
        <v>120</v>
      </c>
      <c r="D23" s="81"/>
      <c r="E23" s="82"/>
      <c r="F23" s="83"/>
      <c r="G23" s="72"/>
      <c r="H23" s="84"/>
      <c r="I23" s="83"/>
      <c r="J23" s="72"/>
      <c r="K23" s="76"/>
      <c r="L23" s="77"/>
      <c r="M23" s="80"/>
      <c r="N23" s="80"/>
      <c r="R23" s="13"/>
    </row>
    <row r="24" spans="1:18" x14ac:dyDescent="0.3">
      <c r="B24" s="20" t="s">
        <v>36</v>
      </c>
      <c r="C24" s="18">
        <v>130</v>
      </c>
      <c r="D24" s="81"/>
      <c r="E24" s="82"/>
      <c r="F24" s="83"/>
      <c r="G24" s="73"/>
      <c r="H24" s="84"/>
      <c r="I24" s="83"/>
      <c r="J24" s="73"/>
      <c r="K24" s="78"/>
      <c r="L24" s="79"/>
      <c r="M24" s="80"/>
      <c r="N24" s="80"/>
      <c r="R24" s="13"/>
    </row>
    <row r="26" spans="1:18" x14ac:dyDescent="0.3">
      <c r="A26" s="4" t="s">
        <v>37</v>
      </c>
      <c r="B26" s="21" t="s">
        <v>38</v>
      </c>
    </row>
    <row r="28" spans="1:18" x14ac:dyDescent="0.3">
      <c r="B28" s="5" t="s">
        <v>39</v>
      </c>
    </row>
    <row r="29" spans="1:18" ht="15" customHeight="1" x14ac:dyDescent="0.3">
      <c r="B29" s="53" t="s">
        <v>40</v>
      </c>
      <c r="C29" s="53" t="s">
        <v>41</v>
      </c>
      <c r="D29" s="68" t="s">
        <v>42</v>
      </c>
      <c r="E29" s="69"/>
      <c r="F29" s="70"/>
      <c r="G29" s="53" t="s">
        <v>17</v>
      </c>
      <c r="H29" s="53" t="s">
        <v>43</v>
      </c>
      <c r="I29" s="65" t="s">
        <v>44</v>
      </c>
      <c r="J29" s="66"/>
      <c r="K29" s="67"/>
      <c r="L29" s="53" t="s">
        <v>45</v>
      </c>
      <c r="M29" s="56" t="s">
        <v>19</v>
      </c>
      <c r="N29" s="57"/>
      <c r="O29" s="60" t="s">
        <v>46</v>
      </c>
      <c r="P29" s="60" t="s">
        <v>47</v>
      </c>
    </row>
    <row r="30" spans="1:18" x14ac:dyDescent="0.3">
      <c r="B30" s="54"/>
      <c r="C30" s="54"/>
      <c r="D30" s="61" t="s">
        <v>48</v>
      </c>
      <c r="E30" s="63" t="s">
        <v>49</v>
      </c>
      <c r="F30" s="53" t="s">
        <v>50</v>
      </c>
      <c r="G30" s="54"/>
      <c r="H30" s="54"/>
      <c r="I30" s="22" t="s">
        <v>27</v>
      </c>
      <c r="J30" s="23" t="s">
        <v>28</v>
      </c>
      <c r="K30" s="23" t="s">
        <v>29</v>
      </c>
      <c r="L30" s="54"/>
      <c r="M30" s="58"/>
      <c r="N30" s="59"/>
      <c r="O30" s="60"/>
      <c r="P30" s="60"/>
    </row>
    <row r="31" spans="1:18" x14ac:dyDescent="0.3">
      <c r="B31" s="55"/>
      <c r="C31" s="55"/>
      <c r="D31" s="62"/>
      <c r="E31" s="64"/>
      <c r="F31" s="55"/>
      <c r="G31" s="55"/>
      <c r="H31" s="55"/>
      <c r="I31" s="24">
        <v>6000</v>
      </c>
      <c r="J31" s="24">
        <v>8000</v>
      </c>
      <c r="K31" s="24">
        <v>9000</v>
      </c>
      <c r="L31" s="55"/>
      <c r="M31" s="25">
        <v>7.0000000000000007E-2</v>
      </c>
      <c r="N31" s="26">
        <v>250</v>
      </c>
      <c r="O31" s="60"/>
      <c r="P31" s="60"/>
    </row>
    <row r="32" spans="1:18" x14ac:dyDescent="0.3">
      <c r="B32" s="27"/>
      <c r="C32" s="28" t="s">
        <v>30</v>
      </c>
      <c r="D32" s="29"/>
      <c r="E32" s="29"/>
      <c r="F32" s="29"/>
      <c r="G32" s="18">
        <v>100</v>
      </c>
      <c r="H32" s="29"/>
      <c r="I32" s="29"/>
      <c r="J32" s="29" t="s">
        <v>51</v>
      </c>
      <c r="K32" s="29"/>
      <c r="L32" s="29"/>
      <c r="M32" s="29"/>
      <c r="N32" s="29"/>
      <c r="O32" s="29"/>
      <c r="P32" s="29"/>
    </row>
    <row r="33" spans="2:16" x14ac:dyDescent="0.3">
      <c r="B33" s="27"/>
      <c r="C33" s="30" t="s">
        <v>33</v>
      </c>
      <c r="D33" s="29"/>
      <c r="E33" s="29"/>
      <c r="F33" s="29"/>
      <c r="G33" s="18">
        <v>110</v>
      </c>
      <c r="H33" s="29"/>
      <c r="I33" s="29"/>
      <c r="J33" s="29"/>
      <c r="K33" s="29"/>
      <c r="L33" s="29"/>
      <c r="M33" s="29"/>
      <c r="N33" s="29"/>
      <c r="O33" s="29"/>
      <c r="P33" s="29"/>
    </row>
    <row r="34" spans="2:16" x14ac:dyDescent="0.3">
      <c r="B34" s="27"/>
      <c r="C34" s="30" t="s">
        <v>34</v>
      </c>
      <c r="D34" s="29"/>
      <c r="E34" s="29"/>
      <c r="F34" s="29"/>
      <c r="G34" s="18">
        <v>115</v>
      </c>
      <c r="H34" s="29"/>
      <c r="I34" s="29"/>
      <c r="J34" s="29"/>
      <c r="K34" s="29"/>
      <c r="L34" s="29"/>
      <c r="M34" s="29"/>
      <c r="N34" s="29"/>
      <c r="O34" s="29"/>
      <c r="P34" s="29"/>
    </row>
    <row r="35" spans="2:16" x14ac:dyDescent="0.3">
      <c r="B35" s="27" t="s">
        <v>52</v>
      </c>
      <c r="C35" s="31" t="s">
        <v>35</v>
      </c>
      <c r="D35" s="29">
        <v>50</v>
      </c>
      <c r="E35" s="29">
        <v>20</v>
      </c>
      <c r="F35" s="32">
        <f>E35*D35</f>
        <v>1000</v>
      </c>
      <c r="G35" s="18">
        <v>120</v>
      </c>
      <c r="H35" s="33">
        <f>G35*F35</f>
        <v>120000</v>
      </c>
      <c r="I35" s="29"/>
      <c r="J35" s="34">
        <f>J31</f>
        <v>8000</v>
      </c>
      <c r="K35" s="29"/>
      <c r="L35" s="33">
        <f>SUM(H35:K35)</f>
        <v>128000</v>
      </c>
      <c r="M35" s="35">
        <f>M31*F35</f>
        <v>70</v>
      </c>
      <c r="N35" s="35">
        <f>N31*M35</f>
        <v>17500</v>
      </c>
      <c r="O35" s="35">
        <f>N35+L35</f>
        <v>145500</v>
      </c>
      <c r="P35" s="36">
        <f>O35/F35</f>
        <v>145.5</v>
      </c>
    </row>
    <row r="36" spans="2:16" x14ac:dyDescent="0.3">
      <c r="B36" s="27" t="s">
        <v>53</v>
      </c>
      <c r="C36" s="31" t="s">
        <v>36</v>
      </c>
      <c r="D36" s="33">
        <f>F36/E36</f>
        <v>44.444444444444443</v>
      </c>
      <c r="E36" s="29">
        <v>18</v>
      </c>
      <c r="F36" s="32">
        <v>800</v>
      </c>
      <c r="G36" s="18">
        <v>130</v>
      </c>
      <c r="H36" s="33">
        <f>G36*F36</f>
        <v>104000</v>
      </c>
      <c r="I36" s="29"/>
      <c r="J36" s="34">
        <f>J31</f>
        <v>8000</v>
      </c>
      <c r="K36" s="29"/>
      <c r="L36" s="33">
        <f>SUM(H36:K36)</f>
        <v>112000</v>
      </c>
      <c r="M36" s="35">
        <f>M31*F36</f>
        <v>56.000000000000007</v>
      </c>
      <c r="N36" s="35">
        <f>N31*M36</f>
        <v>14000.000000000002</v>
      </c>
      <c r="O36" s="35">
        <f>N36+L36</f>
        <v>126000</v>
      </c>
      <c r="P36" s="36">
        <f>O36/F36</f>
        <v>157.5</v>
      </c>
    </row>
    <row r="37" spans="2:16" x14ac:dyDescent="0.3">
      <c r="B37" s="5"/>
      <c r="C37" s="37" t="s">
        <v>54</v>
      </c>
      <c r="D37" t="s">
        <v>55</v>
      </c>
    </row>
    <row r="38" spans="2:16" x14ac:dyDescent="0.3">
      <c r="B38" s="38"/>
      <c r="D38" s="39" t="str">
        <f>B35</f>
        <v xml:space="preserve">1. Ali </v>
      </c>
      <c r="E38" s="40"/>
      <c r="F38" s="40"/>
      <c r="G38" s="40"/>
      <c r="H38" s="40"/>
      <c r="I38" s="40"/>
      <c r="J38" s="40"/>
      <c r="K38" s="41"/>
      <c r="L38" s="33">
        <f>L35*25</f>
        <v>3200000</v>
      </c>
      <c r="M38" s="29"/>
      <c r="N38" s="29"/>
      <c r="O38" s="33">
        <f>O35*25</f>
        <v>3637500</v>
      </c>
      <c r="P38" s="29"/>
    </row>
    <row r="39" spans="2:16" x14ac:dyDescent="0.3">
      <c r="B39" s="38"/>
      <c r="D39" s="39" t="str">
        <f>B36</f>
        <v>2. Badu</v>
      </c>
      <c r="E39" s="40"/>
      <c r="F39" s="40"/>
      <c r="G39" s="40"/>
      <c r="H39" s="40"/>
      <c r="I39" s="40"/>
      <c r="J39" s="40"/>
      <c r="K39" s="41"/>
      <c r="L39" s="33">
        <f>L36*25</f>
        <v>2800000</v>
      </c>
      <c r="M39" s="29"/>
      <c r="N39" s="29"/>
      <c r="O39" s="33">
        <f>O36*25</f>
        <v>3150000</v>
      </c>
      <c r="P39" s="29"/>
    </row>
    <row r="40" spans="2:16" x14ac:dyDescent="0.3">
      <c r="B40" s="38"/>
    </row>
    <row r="41" spans="2:16" x14ac:dyDescent="0.3">
      <c r="B41" s="38"/>
    </row>
    <row r="42" spans="2:16" x14ac:dyDescent="0.3">
      <c r="B42" s="5" t="s">
        <v>56</v>
      </c>
    </row>
    <row r="43" spans="2:16" x14ac:dyDescent="0.3">
      <c r="B43" s="53" t="s">
        <v>40</v>
      </c>
      <c r="C43" s="53" t="s">
        <v>41</v>
      </c>
      <c r="D43" s="68" t="s">
        <v>42</v>
      </c>
      <c r="E43" s="69"/>
      <c r="F43" s="70"/>
      <c r="G43" s="53" t="s">
        <v>17</v>
      </c>
      <c r="H43" s="53" t="s">
        <v>43</v>
      </c>
      <c r="I43" s="65" t="s">
        <v>44</v>
      </c>
      <c r="J43" s="66"/>
      <c r="K43" s="67"/>
      <c r="L43" s="53" t="s">
        <v>45</v>
      </c>
      <c r="M43" s="56" t="s">
        <v>19</v>
      </c>
      <c r="N43" s="57"/>
      <c r="O43" s="60" t="s">
        <v>46</v>
      </c>
      <c r="P43" s="60" t="s">
        <v>47</v>
      </c>
    </row>
    <row r="44" spans="2:16" x14ac:dyDescent="0.3">
      <c r="B44" s="54"/>
      <c r="C44" s="54"/>
      <c r="D44" s="61" t="s">
        <v>48</v>
      </c>
      <c r="E44" s="63" t="s">
        <v>49</v>
      </c>
      <c r="F44" s="53" t="s">
        <v>50</v>
      </c>
      <c r="G44" s="54"/>
      <c r="H44" s="54"/>
      <c r="I44" s="22" t="s">
        <v>27</v>
      </c>
      <c r="J44" s="23" t="s">
        <v>28</v>
      </c>
      <c r="K44" s="23" t="s">
        <v>29</v>
      </c>
      <c r="L44" s="54"/>
      <c r="M44" s="58"/>
      <c r="N44" s="59"/>
      <c r="O44" s="60"/>
      <c r="P44" s="60"/>
    </row>
    <row r="45" spans="2:16" x14ac:dyDescent="0.3">
      <c r="B45" s="55"/>
      <c r="C45" s="55"/>
      <c r="D45" s="62"/>
      <c r="E45" s="64"/>
      <c r="F45" s="55"/>
      <c r="G45" s="55"/>
      <c r="H45" s="55"/>
      <c r="I45" s="24">
        <v>6000</v>
      </c>
      <c r="J45" s="24">
        <v>8000</v>
      </c>
      <c r="K45" s="24">
        <v>9000</v>
      </c>
      <c r="L45" s="55"/>
      <c r="M45" s="25">
        <v>7.0000000000000007E-2</v>
      </c>
      <c r="N45" s="26">
        <v>250</v>
      </c>
      <c r="O45" s="60"/>
      <c r="P45" s="60"/>
    </row>
    <row r="46" spans="2:16" x14ac:dyDescent="0.3">
      <c r="B46" s="27"/>
      <c r="C46" s="28" t="s">
        <v>30</v>
      </c>
      <c r="D46" s="29"/>
      <c r="E46" s="29"/>
      <c r="F46" s="29"/>
      <c r="G46" s="18">
        <v>100</v>
      </c>
      <c r="H46" s="29"/>
      <c r="I46" s="29"/>
      <c r="J46" s="29"/>
      <c r="K46" s="29"/>
      <c r="L46" s="29"/>
      <c r="M46" s="29"/>
      <c r="N46" s="29"/>
      <c r="O46" s="29"/>
      <c r="P46" s="29"/>
    </row>
    <row r="47" spans="2:16" x14ac:dyDescent="0.3">
      <c r="B47" s="27"/>
      <c r="C47" s="30" t="s">
        <v>33</v>
      </c>
      <c r="D47" s="29"/>
      <c r="E47" s="29"/>
      <c r="F47" s="29"/>
      <c r="G47" s="18">
        <v>110</v>
      </c>
      <c r="H47" s="29"/>
      <c r="I47" s="29"/>
      <c r="J47" s="29"/>
      <c r="K47" s="29"/>
      <c r="L47" s="29"/>
      <c r="M47" s="29"/>
      <c r="N47" s="29"/>
      <c r="O47" s="29"/>
      <c r="P47" s="29"/>
    </row>
    <row r="48" spans="2:16" x14ac:dyDescent="0.3">
      <c r="B48" s="27" t="s">
        <v>57</v>
      </c>
      <c r="C48" s="30" t="s">
        <v>34</v>
      </c>
      <c r="D48" s="32">
        <f>F48/E48</f>
        <v>47.826086956521742</v>
      </c>
      <c r="E48" s="29">
        <v>23</v>
      </c>
      <c r="F48" s="32">
        <v>1100</v>
      </c>
      <c r="G48" s="18">
        <v>115</v>
      </c>
      <c r="H48" s="33">
        <f>G48*F48</f>
        <v>126500</v>
      </c>
      <c r="I48" s="34">
        <f>I45</f>
        <v>6000</v>
      </c>
      <c r="J48" s="29"/>
      <c r="K48" s="29"/>
      <c r="L48" s="33">
        <f>SUM(H48:K48)</f>
        <v>132500</v>
      </c>
      <c r="M48" s="35">
        <f>M45*F48</f>
        <v>77.000000000000014</v>
      </c>
      <c r="N48" s="35">
        <f>N45*M48</f>
        <v>19250.000000000004</v>
      </c>
      <c r="O48" s="35">
        <f>N48+L48</f>
        <v>151750</v>
      </c>
      <c r="P48" s="42">
        <f>O48/F48</f>
        <v>137.95454545454547</v>
      </c>
    </row>
    <row r="49" spans="2:16" x14ac:dyDescent="0.3">
      <c r="B49" s="27"/>
      <c r="C49" s="31" t="s">
        <v>35</v>
      </c>
      <c r="D49" s="29"/>
      <c r="E49" s="29"/>
      <c r="F49" s="29"/>
      <c r="G49" s="18">
        <v>120</v>
      </c>
      <c r="H49" s="29"/>
      <c r="I49" s="29"/>
      <c r="J49" s="29"/>
      <c r="K49" s="29"/>
      <c r="L49" s="29"/>
      <c r="M49" s="29"/>
      <c r="N49" s="29"/>
      <c r="O49" s="29"/>
      <c r="P49" s="29"/>
    </row>
    <row r="50" spans="2:16" x14ac:dyDescent="0.3">
      <c r="B50" s="27"/>
      <c r="C50" s="31" t="s">
        <v>36</v>
      </c>
      <c r="D50" s="29"/>
      <c r="E50" s="29"/>
      <c r="F50" s="29"/>
      <c r="G50" s="18">
        <v>130</v>
      </c>
      <c r="H50" s="29"/>
      <c r="I50" s="29"/>
      <c r="J50" s="29"/>
      <c r="K50" s="29"/>
      <c r="L50" s="29"/>
      <c r="M50" s="29"/>
      <c r="N50" s="29"/>
      <c r="O50" s="29"/>
      <c r="P50" s="29"/>
    </row>
    <row r="51" spans="2:16" x14ac:dyDescent="0.3">
      <c r="C51" s="37" t="s">
        <v>54</v>
      </c>
      <c r="D51" t="s">
        <v>55</v>
      </c>
    </row>
    <row r="52" spans="2:16" x14ac:dyDescent="0.3">
      <c r="D52" s="39" t="str">
        <f>B48</f>
        <v>1. Ahmad</v>
      </c>
      <c r="E52" s="40"/>
      <c r="F52" s="40"/>
      <c r="G52" s="40"/>
      <c r="H52" s="40"/>
      <c r="I52" s="40"/>
      <c r="J52" s="40"/>
      <c r="K52" s="41"/>
      <c r="L52" s="33">
        <f>L48*25</f>
        <v>3312500</v>
      </c>
      <c r="M52" s="29"/>
      <c r="N52" s="29"/>
      <c r="O52" s="33">
        <f>O48*25</f>
        <v>3793750</v>
      </c>
      <c r="P52" s="29"/>
    </row>
    <row r="54" spans="2:16" x14ac:dyDescent="0.3">
      <c r="B54" s="5" t="s">
        <v>58</v>
      </c>
    </row>
    <row r="55" spans="2:16" ht="15" customHeight="1" x14ac:dyDescent="0.3">
      <c r="B55" s="53" t="s">
        <v>40</v>
      </c>
      <c r="C55" s="53" t="s">
        <v>41</v>
      </c>
      <c r="D55" s="68" t="s">
        <v>42</v>
      </c>
      <c r="E55" s="69"/>
      <c r="F55" s="70"/>
      <c r="G55" s="53" t="s">
        <v>17</v>
      </c>
      <c r="H55" s="53" t="s">
        <v>43</v>
      </c>
      <c r="I55" s="65" t="s">
        <v>44</v>
      </c>
      <c r="J55" s="66"/>
      <c r="K55" s="67"/>
      <c r="L55" s="53" t="s">
        <v>45</v>
      </c>
      <c r="M55" s="56" t="s">
        <v>19</v>
      </c>
      <c r="N55" s="57"/>
      <c r="O55" s="60" t="s">
        <v>46</v>
      </c>
      <c r="P55" s="60" t="s">
        <v>47</v>
      </c>
    </row>
    <row r="56" spans="2:16" ht="15" customHeight="1" x14ac:dyDescent="0.3">
      <c r="B56" s="54"/>
      <c r="C56" s="54"/>
      <c r="D56" s="61" t="s">
        <v>48</v>
      </c>
      <c r="E56" s="63" t="s">
        <v>49</v>
      </c>
      <c r="F56" s="53" t="s">
        <v>50</v>
      </c>
      <c r="G56" s="54"/>
      <c r="H56" s="54"/>
      <c r="I56" s="22" t="s">
        <v>27</v>
      </c>
      <c r="J56" s="23" t="s">
        <v>28</v>
      </c>
      <c r="K56" s="23" t="s">
        <v>29</v>
      </c>
      <c r="L56" s="54"/>
      <c r="M56" s="58"/>
      <c r="N56" s="59"/>
      <c r="O56" s="60"/>
      <c r="P56" s="60"/>
    </row>
    <row r="57" spans="2:16" x14ac:dyDescent="0.3">
      <c r="B57" s="55"/>
      <c r="C57" s="55"/>
      <c r="D57" s="62"/>
      <c r="E57" s="64"/>
      <c r="F57" s="55"/>
      <c r="G57" s="55"/>
      <c r="H57" s="55"/>
      <c r="I57" s="24">
        <v>6000</v>
      </c>
      <c r="J57" s="24">
        <v>8000</v>
      </c>
      <c r="K57" s="24">
        <v>9000</v>
      </c>
      <c r="L57" s="55"/>
      <c r="M57" s="25">
        <v>7.0000000000000007E-2</v>
      </c>
      <c r="N57" s="26">
        <v>250</v>
      </c>
      <c r="O57" s="60"/>
      <c r="P57" s="60"/>
    </row>
    <row r="58" spans="2:16" x14ac:dyDescent="0.3">
      <c r="B58" s="27"/>
      <c r="C58" s="28" t="s">
        <v>30</v>
      </c>
      <c r="D58" s="29"/>
      <c r="E58" s="29"/>
      <c r="F58" s="29"/>
      <c r="G58" s="18">
        <v>100</v>
      </c>
      <c r="H58" s="29"/>
      <c r="I58" s="29"/>
      <c r="J58" s="29"/>
      <c r="K58" s="29"/>
      <c r="L58" s="29"/>
      <c r="M58" s="29"/>
      <c r="N58" s="29"/>
      <c r="O58" s="29"/>
      <c r="P58" s="29"/>
    </row>
    <row r="59" spans="2:16" x14ac:dyDescent="0.3">
      <c r="B59" s="27" t="s">
        <v>59</v>
      </c>
      <c r="C59" s="30" t="s">
        <v>33</v>
      </c>
      <c r="D59" s="29">
        <v>50</v>
      </c>
      <c r="E59" s="29">
        <v>24</v>
      </c>
      <c r="F59" s="29">
        <f>E59*D59</f>
        <v>1200</v>
      </c>
      <c r="G59" s="18">
        <v>110</v>
      </c>
      <c r="H59" s="33">
        <f>G59*F59</f>
        <v>132000</v>
      </c>
      <c r="I59" s="29"/>
      <c r="J59" s="29"/>
      <c r="K59" s="34">
        <f>K57</f>
        <v>9000</v>
      </c>
      <c r="L59" s="33">
        <f>SUM(H59:K59)</f>
        <v>141000</v>
      </c>
      <c r="M59" s="35">
        <f>M57*F59</f>
        <v>84.000000000000014</v>
      </c>
      <c r="N59" s="35">
        <f>N57*M59</f>
        <v>21000.000000000004</v>
      </c>
      <c r="O59" s="35">
        <f>N59+L59</f>
        <v>162000</v>
      </c>
      <c r="P59" s="43">
        <f>O59/F59</f>
        <v>135</v>
      </c>
    </row>
    <row r="60" spans="2:16" x14ac:dyDescent="0.3">
      <c r="B60" s="27"/>
      <c r="C60" s="30" t="s">
        <v>34</v>
      </c>
      <c r="D60" s="32"/>
      <c r="E60" s="29"/>
      <c r="F60" s="32"/>
      <c r="G60" s="18">
        <v>115</v>
      </c>
      <c r="H60" s="33">
        <f>G60*F60</f>
        <v>0</v>
      </c>
      <c r="I60" s="34"/>
      <c r="J60" s="29"/>
      <c r="K60" s="29"/>
      <c r="L60" s="33">
        <f>SUM(H60:K60)</f>
        <v>0</v>
      </c>
      <c r="M60" s="35">
        <f>M57*F60</f>
        <v>0</v>
      </c>
      <c r="N60" s="35">
        <f>N57*M60</f>
        <v>0</v>
      </c>
      <c r="O60" s="35">
        <f>N60+L60</f>
        <v>0</v>
      </c>
      <c r="P60" s="42"/>
    </row>
    <row r="61" spans="2:16" x14ac:dyDescent="0.3">
      <c r="B61" s="27"/>
      <c r="C61" s="31" t="s">
        <v>35</v>
      </c>
      <c r="D61" s="29"/>
      <c r="E61" s="29"/>
      <c r="F61" s="29"/>
      <c r="G61" s="18">
        <v>120</v>
      </c>
      <c r="H61" s="29"/>
      <c r="I61" s="29"/>
      <c r="J61" s="29"/>
      <c r="K61" s="29"/>
      <c r="L61" s="29"/>
      <c r="M61" s="29"/>
      <c r="N61" s="29"/>
      <c r="O61" s="29"/>
      <c r="P61" s="29"/>
    </row>
    <row r="62" spans="2:16" x14ac:dyDescent="0.3">
      <c r="B62" s="27"/>
      <c r="C62" s="31" t="s">
        <v>36</v>
      </c>
      <c r="D62" s="29"/>
      <c r="E62" s="29"/>
      <c r="F62" s="29"/>
      <c r="G62" s="18">
        <v>130</v>
      </c>
      <c r="H62" s="29"/>
      <c r="I62" s="29"/>
      <c r="J62" s="29"/>
      <c r="K62" s="29"/>
      <c r="L62" s="29"/>
      <c r="M62" s="29"/>
      <c r="N62" s="29"/>
      <c r="O62" s="29"/>
      <c r="P62" s="29"/>
    </row>
    <row r="63" spans="2:16" x14ac:dyDescent="0.3">
      <c r="C63" s="37" t="s">
        <v>54</v>
      </c>
      <c r="D63" t="s">
        <v>55</v>
      </c>
    </row>
    <row r="64" spans="2:16" x14ac:dyDescent="0.3">
      <c r="D64" s="39" t="str">
        <f>B59</f>
        <v>1. Surip</v>
      </c>
      <c r="E64" s="40"/>
      <c r="F64" s="40"/>
      <c r="G64" s="40"/>
      <c r="H64" s="40"/>
      <c r="I64" s="40"/>
      <c r="J64" s="40"/>
      <c r="K64" s="41"/>
      <c r="L64" s="33">
        <f>L59*25</f>
        <v>3525000</v>
      </c>
      <c r="M64" s="29"/>
      <c r="N64" s="29"/>
      <c r="O64" s="33">
        <f>O59*25</f>
        <v>4050000</v>
      </c>
      <c r="P64" s="29"/>
    </row>
    <row r="66" spans="1:16" x14ac:dyDescent="0.3">
      <c r="B66" s="5" t="s">
        <v>60</v>
      </c>
      <c r="J66" s="44"/>
      <c r="M66" s="45"/>
    </row>
    <row r="67" spans="1:16" x14ac:dyDescent="0.3">
      <c r="B67" s="53" t="s">
        <v>40</v>
      </c>
      <c r="C67" s="53" t="s">
        <v>41</v>
      </c>
      <c r="D67" s="68" t="s">
        <v>42</v>
      </c>
      <c r="E67" s="69"/>
      <c r="F67" s="70"/>
      <c r="G67" s="53" t="s">
        <v>17</v>
      </c>
      <c r="H67" s="53" t="s">
        <v>43</v>
      </c>
      <c r="I67" s="65" t="s">
        <v>44</v>
      </c>
      <c r="J67" s="66"/>
      <c r="K67" s="67"/>
      <c r="L67" s="53" t="s">
        <v>45</v>
      </c>
      <c r="M67" s="56" t="s">
        <v>19</v>
      </c>
      <c r="N67" s="57"/>
      <c r="O67" s="60" t="s">
        <v>46</v>
      </c>
      <c r="P67" s="60" t="s">
        <v>47</v>
      </c>
    </row>
    <row r="68" spans="1:16" x14ac:dyDescent="0.3">
      <c r="B68" s="54"/>
      <c r="C68" s="54"/>
      <c r="D68" s="61" t="s">
        <v>48</v>
      </c>
      <c r="E68" s="63" t="s">
        <v>49</v>
      </c>
      <c r="F68" s="53" t="s">
        <v>50</v>
      </c>
      <c r="G68" s="54"/>
      <c r="H68" s="54"/>
      <c r="I68" s="22" t="s">
        <v>27</v>
      </c>
      <c r="J68" s="23" t="s">
        <v>28</v>
      </c>
      <c r="K68" s="23" t="s">
        <v>29</v>
      </c>
      <c r="L68" s="54"/>
      <c r="M68" s="58"/>
      <c r="N68" s="59"/>
      <c r="O68" s="60"/>
      <c r="P68" s="60"/>
    </row>
    <row r="69" spans="1:16" x14ac:dyDescent="0.3">
      <c r="B69" s="55"/>
      <c r="C69" s="55"/>
      <c r="D69" s="62"/>
      <c r="E69" s="64"/>
      <c r="F69" s="55"/>
      <c r="G69" s="55"/>
      <c r="H69" s="55"/>
      <c r="I69" s="24">
        <v>6000</v>
      </c>
      <c r="J69" s="24">
        <v>8000</v>
      </c>
      <c r="K69" s="24">
        <v>9000</v>
      </c>
      <c r="L69" s="55"/>
      <c r="M69" s="25">
        <v>7.0000000000000007E-2</v>
      </c>
      <c r="N69" s="26">
        <v>250</v>
      </c>
      <c r="O69" s="60"/>
      <c r="P69" s="60"/>
    </row>
    <row r="70" spans="1:16" x14ac:dyDescent="0.3">
      <c r="B70" s="27"/>
      <c r="C70" s="28" t="s">
        <v>30</v>
      </c>
      <c r="D70" s="29"/>
      <c r="E70" s="29"/>
      <c r="F70" s="29"/>
      <c r="G70" s="18">
        <v>100</v>
      </c>
      <c r="H70" s="29"/>
      <c r="I70" s="29"/>
      <c r="J70" s="29"/>
      <c r="K70" s="29"/>
      <c r="L70" s="29"/>
      <c r="M70" s="29"/>
      <c r="N70" s="29"/>
      <c r="O70" s="29"/>
      <c r="P70" s="29"/>
    </row>
    <row r="71" spans="1:16" x14ac:dyDescent="0.3">
      <c r="B71" s="27" t="s">
        <v>61</v>
      </c>
      <c r="C71" s="30" t="s">
        <v>33</v>
      </c>
      <c r="D71" s="29"/>
      <c r="E71" s="29"/>
      <c r="F71" s="29"/>
      <c r="G71" s="18">
        <v>110</v>
      </c>
      <c r="H71" s="33">
        <f>G71*F71</f>
        <v>0</v>
      </c>
      <c r="I71" s="29"/>
      <c r="J71" s="29"/>
      <c r="K71" s="34"/>
      <c r="L71" s="33">
        <f>SUM(H71:K71)</f>
        <v>0</v>
      </c>
      <c r="M71" s="35">
        <f>M69*F71</f>
        <v>0</v>
      </c>
      <c r="N71" s="35">
        <f>N69*M71</f>
        <v>0</v>
      </c>
      <c r="O71" s="35">
        <f>N71+L71</f>
        <v>0</v>
      </c>
      <c r="P71" s="43"/>
    </row>
    <row r="72" spans="1:16" x14ac:dyDescent="0.3">
      <c r="B72" s="27"/>
      <c r="C72" s="30" t="s">
        <v>34</v>
      </c>
      <c r="D72" s="32"/>
      <c r="E72" s="29"/>
      <c r="F72" s="32"/>
      <c r="G72" s="18">
        <v>115</v>
      </c>
      <c r="H72" s="33">
        <f>G72*F72</f>
        <v>0</v>
      </c>
      <c r="I72" s="34"/>
      <c r="J72" s="29"/>
      <c r="K72" s="29"/>
      <c r="L72" s="33">
        <f>SUM(H72:K72)</f>
        <v>0</v>
      </c>
      <c r="M72" s="35">
        <f>$M$69*F72</f>
        <v>0</v>
      </c>
      <c r="N72" s="35">
        <f>$N$69*M72</f>
        <v>0</v>
      </c>
      <c r="O72" s="35">
        <f>N72+L72</f>
        <v>0</v>
      </c>
      <c r="P72" s="42"/>
    </row>
    <row r="73" spans="1:16" x14ac:dyDescent="0.3">
      <c r="B73" s="27"/>
      <c r="C73" s="31" t="s">
        <v>35</v>
      </c>
      <c r="D73" s="29">
        <v>40</v>
      </c>
      <c r="E73" s="29">
        <v>25</v>
      </c>
      <c r="F73" s="32">
        <f>E73*D73</f>
        <v>1000</v>
      </c>
      <c r="G73" s="18">
        <v>120</v>
      </c>
      <c r="H73" s="33">
        <f>G73*F73</f>
        <v>120000</v>
      </c>
      <c r="I73" s="34">
        <f>I69</f>
        <v>6000</v>
      </c>
      <c r="J73" s="29"/>
      <c r="K73" s="29"/>
      <c r="L73" s="33">
        <f>SUM(H73:K73)</f>
        <v>126000</v>
      </c>
      <c r="M73" s="35">
        <f>$M$69*F73</f>
        <v>70</v>
      </c>
      <c r="N73" s="35">
        <f>$N$69*M73</f>
        <v>17500</v>
      </c>
      <c r="O73" s="35">
        <f>N73+L73</f>
        <v>143500</v>
      </c>
      <c r="P73" s="43">
        <f>O73/F73</f>
        <v>143.5</v>
      </c>
    </row>
    <row r="74" spans="1:16" x14ac:dyDescent="0.3">
      <c r="B74" s="27"/>
      <c r="C74" s="31" t="s">
        <v>36</v>
      </c>
      <c r="D74" s="29"/>
      <c r="E74" s="29"/>
      <c r="F74" s="29"/>
      <c r="G74" s="18">
        <v>130</v>
      </c>
      <c r="H74" s="29"/>
      <c r="I74" s="29"/>
      <c r="J74" s="29"/>
      <c r="K74" s="29"/>
      <c r="L74" s="29"/>
      <c r="M74" s="29"/>
      <c r="N74" s="29"/>
      <c r="O74" s="29"/>
      <c r="P74" s="29"/>
    </row>
    <row r="75" spans="1:16" x14ac:dyDescent="0.3">
      <c r="C75" s="37" t="s">
        <v>54</v>
      </c>
      <c r="D75" t="s">
        <v>55</v>
      </c>
    </row>
    <row r="76" spans="1:16" x14ac:dyDescent="0.3">
      <c r="D76" s="39" t="str">
        <f>B71</f>
        <v>1. Didu</v>
      </c>
      <c r="E76" s="40"/>
      <c r="F76" s="40"/>
      <c r="G76" s="40"/>
      <c r="H76" s="40"/>
      <c r="I76" s="40"/>
      <c r="J76" s="40"/>
      <c r="K76" s="41"/>
      <c r="L76" s="33">
        <f>L73*25</f>
        <v>3150000</v>
      </c>
      <c r="M76" s="29"/>
      <c r="N76" s="29"/>
      <c r="O76" s="33">
        <f>O73*25</f>
        <v>3587500</v>
      </c>
      <c r="P76" s="29"/>
    </row>
    <row r="77" spans="1:16" x14ac:dyDescent="0.3">
      <c r="D77" s="39"/>
      <c r="E77" s="40"/>
      <c r="F77" s="40"/>
      <c r="G77" s="40"/>
      <c r="H77" s="40"/>
      <c r="I77" s="40"/>
      <c r="J77" s="40"/>
      <c r="K77" s="41"/>
      <c r="L77" s="33"/>
      <c r="M77" s="29"/>
      <c r="N77" s="29"/>
      <c r="O77" s="33"/>
      <c r="P77" s="29"/>
    </row>
    <row r="78" spans="1:16" x14ac:dyDescent="0.3">
      <c r="J78" s="44"/>
    </row>
    <row r="79" spans="1:16" x14ac:dyDescent="0.3">
      <c r="A79" t="s">
        <v>62</v>
      </c>
      <c r="J79" s="44"/>
    </row>
    <row r="80" spans="1:16" x14ac:dyDescent="0.3">
      <c r="J80" s="44"/>
    </row>
    <row r="81" spans="1:1" x14ac:dyDescent="0.3">
      <c r="A81" t="s">
        <v>63</v>
      </c>
    </row>
  </sheetData>
  <mergeCells count="73">
    <mergeCell ref="H10:I10"/>
    <mergeCell ref="B17:B19"/>
    <mergeCell ref="C17:C19"/>
    <mergeCell ref="D17:F17"/>
    <mergeCell ref="G17:G18"/>
    <mergeCell ref="H17:J17"/>
    <mergeCell ref="K17:L19"/>
    <mergeCell ref="M17:N19"/>
    <mergeCell ref="D18:F18"/>
    <mergeCell ref="H18:H19"/>
    <mergeCell ref="I18:I19"/>
    <mergeCell ref="J18:J19"/>
    <mergeCell ref="J20:J24"/>
    <mergeCell ref="K20:L24"/>
    <mergeCell ref="M20:N24"/>
    <mergeCell ref="B29:B31"/>
    <mergeCell ref="C29:C31"/>
    <mergeCell ref="D29:F29"/>
    <mergeCell ref="G29:G31"/>
    <mergeCell ref="H29:H31"/>
    <mergeCell ref="I29:K29"/>
    <mergeCell ref="L29:L31"/>
    <mergeCell ref="D20:D24"/>
    <mergeCell ref="E20:E24"/>
    <mergeCell ref="F20:F24"/>
    <mergeCell ref="G20:G24"/>
    <mergeCell ref="H20:H24"/>
    <mergeCell ref="I20:I24"/>
    <mergeCell ref="M29:N30"/>
    <mergeCell ref="O29:O31"/>
    <mergeCell ref="P29:P31"/>
    <mergeCell ref="D30:D31"/>
    <mergeCell ref="E30:E31"/>
    <mergeCell ref="F30:F31"/>
    <mergeCell ref="B43:B45"/>
    <mergeCell ref="C43:C45"/>
    <mergeCell ref="D43:F43"/>
    <mergeCell ref="G43:G45"/>
    <mergeCell ref="H43:H45"/>
    <mergeCell ref="L43:L45"/>
    <mergeCell ref="M43:N44"/>
    <mergeCell ref="O43:O45"/>
    <mergeCell ref="P43:P45"/>
    <mergeCell ref="D44:D45"/>
    <mergeCell ref="E44:E45"/>
    <mergeCell ref="F44:F45"/>
    <mergeCell ref="I43:K43"/>
    <mergeCell ref="B55:B57"/>
    <mergeCell ref="C55:C57"/>
    <mergeCell ref="D55:F55"/>
    <mergeCell ref="G55:G57"/>
    <mergeCell ref="H55:H57"/>
    <mergeCell ref="L55:L57"/>
    <mergeCell ref="M55:N56"/>
    <mergeCell ref="O55:O57"/>
    <mergeCell ref="P55:P57"/>
    <mergeCell ref="D56:D57"/>
    <mergeCell ref="E56:E57"/>
    <mergeCell ref="F56:F57"/>
    <mergeCell ref="I55:K55"/>
    <mergeCell ref="B67:B69"/>
    <mergeCell ref="C67:C69"/>
    <mergeCell ref="D67:F67"/>
    <mergeCell ref="G67:G69"/>
    <mergeCell ref="H67:H69"/>
    <mergeCell ref="L67:L69"/>
    <mergeCell ref="M67:N68"/>
    <mergeCell ref="O67:O69"/>
    <mergeCell ref="P67:P69"/>
    <mergeCell ref="D68:D69"/>
    <mergeCell ref="E68:E69"/>
    <mergeCell ref="F68:F69"/>
    <mergeCell ref="I67:K67"/>
  </mergeCells>
  <printOptions horizontalCentered="1"/>
  <pageMargins left="0" right="0" top="0.5" bottom="0.5" header="0.3" footer="0.3"/>
  <pageSetup paperSize="9" scale="80" orientation="landscape" r:id="rId1"/>
  <headerFooter>
    <oddFooter>&amp;C Hal :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W81"/>
  <sheetViews>
    <sheetView tabSelected="1" zoomScale="80" zoomScaleNormal="80" workbookViewId="0"/>
  </sheetViews>
  <sheetFormatPr defaultRowHeight="14.4" x14ac:dyDescent="0.3"/>
  <cols>
    <col min="1" max="1" width="3.88671875" customWidth="1"/>
    <col min="2" max="2" width="10.88671875" customWidth="1"/>
    <col min="3" max="3" width="10.33203125" customWidth="1"/>
    <col min="4" max="4" width="9" customWidth="1"/>
    <col min="5" max="5" width="10.33203125" customWidth="1"/>
    <col min="6" max="6" width="10.109375" customWidth="1"/>
    <col min="7" max="7" width="9.44140625" customWidth="1"/>
    <col min="8" max="8" width="12.6640625" customWidth="1"/>
    <col min="9" max="9" width="14" customWidth="1"/>
    <col min="10" max="10" width="12.5546875" customWidth="1"/>
    <col min="11" max="11" width="11.5546875" customWidth="1"/>
    <col min="12" max="12" width="12.5546875" customWidth="1"/>
    <col min="13" max="13" width="10.109375" customWidth="1"/>
    <col min="14" max="14" width="9.109375" customWidth="1"/>
    <col min="15" max="15" width="12" customWidth="1"/>
    <col min="16" max="16" width="8.6640625" customWidth="1"/>
    <col min="17" max="20" width="7.6640625" bestFit="1" customWidth="1"/>
    <col min="21" max="21" width="9.33203125" bestFit="1" customWidth="1"/>
    <col min="22" max="22" width="7.33203125" customWidth="1"/>
    <col min="23" max="23" width="7.33203125" bestFit="1" customWidth="1"/>
  </cols>
  <sheetData>
    <row r="1" spans="1:11" ht="18" x14ac:dyDescent="0.35">
      <c r="A1" s="1" t="s">
        <v>0</v>
      </c>
    </row>
    <row r="3" spans="1:11" x14ac:dyDescent="0.3">
      <c r="A3" s="2">
        <v>1</v>
      </c>
      <c r="B3" t="s">
        <v>1</v>
      </c>
    </row>
    <row r="4" spans="1:11" x14ac:dyDescent="0.3">
      <c r="A4" s="2">
        <v>2</v>
      </c>
      <c r="B4" t="s">
        <v>2</v>
      </c>
    </row>
    <row r="5" spans="1:11" x14ac:dyDescent="0.3">
      <c r="A5" s="2">
        <v>3</v>
      </c>
      <c r="B5" t="s">
        <v>3</v>
      </c>
      <c r="E5" s="3"/>
      <c r="F5" s="3"/>
      <c r="J5" s="2"/>
      <c r="K5" s="2"/>
    </row>
    <row r="6" spans="1:11" x14ac:dyDescent="0.3">
      <c r="A6" s="2">
        <v>4</v>
      </c>
      <c r="B6" t="s">
        <v>4</v>
      </c>
      <c r="E6" s="3"/>
      <c r="F6" s="3"/>
      <c r="H6" s="6"/>
      <c r="I6" s="6"/>
      <c r="J6" s="2"/>
      <c r="K6" s="2"/>
    </row>
    <row r="7" spans="1:11" x14ac:dyDescent="0.3">
      <c r="A7" s="2"/>
      <c r="E7" s="3"/>
      <c r="F7" s="3"/>
      <c r="H7" s="6"/>
      <c r="I7" s="6"/>
      <c r="J7" s="2"/>
      <c r="K7" s="2"/>
    </row>
    <row r="8" spans="1:11" x14ac:dyDescent="0.3">
      <c r="A8" t="s">
        <v>5</v>
      </c>
      <c r="E8" s="3"/>
      <c r="F8" s="3"/>
      <c r="H8" s="6"/>
      <c r="I8" s="6"/>
      <c r="J8" s="2"/>
      <c r="K8" s="2"/>
    </row>
    <row r="9" spans="1:11" x14ac:dyDescent="0.3">
      <c r="E9" s="3"/>
      <c r="F9" s="3"/>
      <c r="H9" s="6"/>
      <c r="I9" s="6"/>
      <c r="J9" s="2"/>
      <c r="K9" s="2"/>
    </row>
    <row r="10" spans="1:11" x14ac:dyDescent="0.3">
      <c r="A10" s="6" t="s">
        <v>6</v>
      </c>
      <c r="B10" s="5" t="s">
        <v>7</v>
      </c>
      <c r="E10" s="3"/>
      <c r="F10" s="3"/>
      <c r="H10" s="104"/>
      <c r="I10" s="104"/>
      <c r="J10" s="2"/>
      <c r="K10" s="2"/>
    </row>
    <row r="11" spans="1:11" x14ac:dyDescent="0.3">
      <c r="E11" s="7" t="s">
        <v>8</v>
      </c>
      <c r="F11" s="7" t="s">
        <v>9</v>
      </c>
      <c r="H11" s="6"/>
      <c r="I11" s="6"/>
      <c r="J11" s="2"/>
      <c r="K11" s="2"/>
    </row>
    <row r="12" spans="1:11" x14ac:dyDescent="0.3">
      <c r="A12" s="2">
        <v>1</v>
      </c>
      <c r="B12" t="s">
        <v>10</v>
      </c>
      <c r="D12" s="2" t="s">
        <v>11</v>
      </c>
      <c r="E12" s="8">
        <v>2300930</v>
      </c>
      <c r="F12" s="9">
        <f>E12/25</f>
        <v>92037.2</v>
      </c>
      <c r="H12" s="5"/>
      <c r="I12" s="10"/>
      <c r="J12" s="11"/>
      <c r="K12" s="11"/>
    </row>
    <row r="13" spans="1:11" x14ac:dyDescent="0.3">
      <c r="A13" s="2">
        <v>2</v>
      </c>
      <c r="B13" t="s">
        <v>12</v>
      </c>
      <c r="D13" s="2" t="s">
        <v>11</v>
      </c>
      <c r="E13" s="8">
        <v>2288306</v>
      </c>
      <c r="F13" s="9">
        <f t="shared" ref="F13:F14" si="0">E13/25</f>
        <v>91532.24</v>
      </c>
      <c r="H13" s="5"/>
      <c r="I13" s="10"/>
      <c r="J13" s="11"/>
      <c r="K13" s="11"/>
    </row>
    <row r="14" spans="1:11" x14ac:dyDescent="0.3">
      <c r="A14" s="2">
        <v>3</v>
      </c>
      <c r="B14" t="s">
        <v>13</v>
      </c>
      <c r="D14" s="2" t="s">
        <v>11</v>
      </c>
      <c r="E14" s="8">
        <v>2267970</v>
      </c>
      <c r="F14" s="9">
        <f t="shared" si="0"/>
        <v>90718.8</v>
      </c>
      <c r="H14" s="5"/>
      <c r="I14" s="10"/>
      <c r="J14" s="11"/>
      <c r="K14" s="11"/>
    </row>
    <row r="15" spans="1:11" x14ac:dyDescent="0.3">
      <c r="A15" s="2"/>
      <c r="C15" s="8"/>
      <c r="D15" s="9"/>
      <c r="E15" s="3"/>
      <c r="F15" s="3"/>
      <c r="H15" s="5"/>
      <c r="I15" s="10"/>
      <c r="J15" s="11"/>
      <c r="K15" s="11"/>
    </row>
    <row r="16" spans="1:11" x14ac:dyDescent="0.3">
      <c r="A16" s="6" t="s">
        <v>14</v>
      </c>
      <c r="B16" s="5" t="s">
        <v>15</v>
      </c>
    </row>
    <row r="17" spans="1:23" ht="30" customHeight="1" x14ac:dyDescent="0.3">
      <c r="B17" s="105" t="s">
        <v>16</v>
      </c>
      <c r="C17" s="105" t="s">
        <v>17</v>
      </c>
      <c r="D17" s="108" t="s">
        <v>18</v>
      </c>
      <c r="E17" s="109"/>
      <c r="F17" s="110"/>
      <c r="G17" s="105" t="s">
        <v>19</v>
      </c>
      <c r="H17" s="111" t="s">
        <v>20</v>
      </c>
      <c r="I17" s="112"/>
      <c r="J17" s="113"/>
      <c r="K17" s="85" t="s">
        <v>21</v>
      </c>
      <c r="L17" s="86"/>
      <c r="M17" s="91" t="s">
        <v>22</v>
      </c>
      <c r="N17" s="92"/>
      <c r="R17" s="12"/>
    </row>
    <row r="18" spans="1:23" ht="31.5" customHeight="1" x14ac:dyDescent="0.3">
      <c r="B18" s="106"/>
      <c r="C18" s="106"/>
      <c r="D18" s="97" t="s">
        <v>23</v>
      </c>
      <c r="E18" s="98"/>
      <c r="F18" s="99"/>
      <c r="G18" s="107"/>
      <c r="H18" s="100" t="s">
        <v>24</v>
      </c>
      <c r="I18" s="102" t="s">
        <v>25</v>
      </c>
      <c r="J18" s="100" t="s">
        <v>26</v>
      </c>
      <c r="K18" s="87"/>
      <c r="L18" s="88"/>
      <c r="M18" s="93"/>
      <c r="N18" s="94"/>
      <c r="R18" s="13"/>
    </row>
    <row r="19" spans="1:23" ht="30" customHeight="1" x14ac:dyDescent="0.3">
      <c r="B19" s="107"/>
      <c r="C19" s="107"/>
      <c r="D19" s="14" t="s">
        <v>27</v>
      </c>
      <c r="E19" s="15" t="s">
        <v>28</v>
      </c>
      <c r="F19" s="15" t="s">
        <v>29</v>
      </c>
      <c r="G19" s="16"/>
      <c r="H19" s="101"/>
      <c r="I19" s="103"/>
      <c r="J19" s="101"/>
      <c r="K19" s="89"/>
      <c r="L19" s="90"/>
      <c r="M19" s="95"/>
      <c r="N19" s="96"/>
      <c r="R19" s="13"/>
    </row>
    <row r="20" spans="1:23" ht="15" customHeight="1" x14ac:dyDescent="0.3">
      <c r="B20" s="17" t="s">
        <v>30</v>
      </c>
      <c r="C20" s="18">
        <v>100</v>
      </c>
      <c r="D20" s="81">
        <v>6000</v>
      </c>
      <c r="E20" s="82">
        <v>8000</v>
      </c>
      <c r="F20" s="83">
        <v>9000</v>
      </c>
      <c r="G20" s="71">
        <v>250</v>
      </c>
      <c r="H20" s="84">
        <v>9000</v>
      </c>
      <c r="I20" s="83">
        <v>35000</v>
      </c>
      <c r="J20" s="71">
        <v>3</v>
      </c>
      <c r="K20" s="74" t="s">
        <v>31</v>
      </c>
      <c r="L20" s="75"/>
      <c r="M20" s="80" t="s">
        <v>32</v>
      </c>
      <c r="N20" s="80"/>
      <c r="R20" s="13"/>
    </row>
    <row r="21" spans="1:23" ht="15" customHeight="1" x14ac:dyDescent="0.3">
      <c r="B21" s="19" t="s">
        <v>33</v>
      </c>
      <c r="C21" s="18">
        <v>110</v>
      </c>
      <c r="D21" s="81"/>
      <c r="E21" s="82"/>
      <c r="F21" s="83"/>
      <c r="G21" s="72"/>
      <c r="H21" s="84"/>
      <c r="I21" s="83"/>
      <c r="J21" s="72"/>
      <c r="K21" s="76"/>
      <c r="L21" s="77"/>
      <c r="M21" s="80"/>
      <c r="N21" s="80"/>
      <c r="R21" s="13"/>
    </row>
    <row r="22" spans="1:23" x14ac:dyDescent="0.3">
      <c r="B22" s="19" t="s">
        <v>34</v>
      </c>
      <c r="C22" s="18">
        <v>115</v>
      </c>
      <c r="D22" s="81"/>
      <c r="E22" s="82"/>
      <c r="F22" s="83"/>
      <c r="G22" s="72"/>
      <c r="H22" s="84"/>
      <c r="I22" s="83"/>
      <c r="J22" s="72"/>
      <c r="K22" s="76"/>
      <c r="L22" s="77"/>
      <c r="M22" s="80"/>
      <c r="N22" s="80"/>
      <c r="R22" s="13"/>
    </row>
    <row r="23" spans="1:23" x14ac:dyDescent="0.3">
      <c r="B23" s="20" t="s">
        <v>35</v>
      </c>
      <c r="C23" s="18">
        <v>120</v>
      </c>
      <c r="D23" s="81"/>
      <c r="E23" s="82"/>
      <c r="F23" s="83"/>
      <c r="G23" s="72"/>
      <c r="H23" s="84"/>
      <c r="I23" s="83"/>
      <c r="J23" s="72"/>
      <c r="K23" s="76"/>
      <c r="L23" s="77"/>
      <c r="M23" s="80"/>
      <c r="N23" s="80"/>
      <c r="R23" s="13"/>
    </row>
    <row r="24" spans="1:23" x14ac:dyDescent="0.3">
      <c r="B24" s="20" t="s">
        <v>36</v>
      </c>
      <c r="C24" s="18">
        <v>130</v>
      </c>
      <c r="D24" s="81"/>
      <c r="E24" s="82"/>
      <c r="F24" s="83"/>
      <c r="G24" s="73"/>
      <c r="H24" s="84"/>
      <c r="I24" s="83"/>
      <c r="J24" s="73"/>
      <c r="K24" s="78"/>
      <c r="L24" s="79"/>
      <c r="M24" s="80"/>
      <c r="N24" s="80"/>
      <c r="R24" s="13"/>
    </row>
    <row r="26" spans="1:23" x14ac:dyDescent="0.3">
      <c r="A26" s="6" t="s">
        <v>37</v>
      </c>
      <c r="B26" s="21" t="s">
        <v>38</v>
      </c>
    </row>
    <row r="28" spans="1:23" x14ac:dyDescent="0.3">
      <c r="B28" s="5" t="s">
        <v>39</v>
      </c>
    </row>
    <row r="29" spans="1:23" ht="15" customHeight="1" x14ac:dyDescent="0.3">
      <c r="B29" s="53" t="s">
        <v>40</v>
      </c>
      <c r="C29" s="53" t="s">
        <v>41</v>
      </c>
      <c r="D29" s="68" t="s">
        <v>42</v>
      </c>
      <c r="E29" s="69"/>
      <c r="F29" s="70"/>
      <c r="G29" s="53" t="s">
        <v>17</v>
      </c>
      <c r="H29" s="53" t="s">
        <v>43</v>
      </c>
      <c r="I29" s="65" t="s">
        <v>44</v>
      </c>
      <c r="J29" s="66"/>
      <c r="K29" s="67"/>
      <c r="L29" s="53" t="s">
        <v>45</v>
      </c>
      <c r="M29" s="56" t="s">
        <v>19</v>
      </c>
      <c r="N29" s="57"/>
      <c r="O29" s="60" t="s">
        <v>46</v>
      </c>
      <c r="P29" s="119" t="s">
        <v>47</v>
      </c>
      <c r="Q29" s="114" t="s">
        <v>68</v>
      </c>
      <c r="R29" s="115"/>
      <c r="S29" s="115"/>
      <c r="T29" s="116"/>
      <c r="U29" s="120" t="s">
        <v>69</v>
      </c>
      <c r="V29" s="123" t="s">
        <v>70</v>
      </c>
      <c r="W29" s="124" t="s">
        <v>71</v>
      </c>
    </row>
    <row r="30" spans="1:23" x14ac:dyDescent="0.3">
      <c r="B30" s="54"/>
      <c r="C30" s="54"/>
      <c r="D30" s="61" t="s">
        <v>48</v>
      </c>
      <c r="E30" s="63" t="s">
        <v>49</v>
      </c>
      <c r="F30" s="53" t="s">
        <v>50</v>
      </c>
      <c r="G30" s="54"/>
      <c r="H30" s="54"/>
      <c r="I30" s="22" t="s">
        <v>27</v>
      </c>
      <c r="J30" s="23" t="s">
        <v>28</v>
      </c>
      <c r="K30" s="23" t="s">
        <v>29</v>
      </c>
      <c r="L30" s="54"/>
      <c r="M30" s="58"/>
      <c r="N30" s="59"/>
      <c r="O30" s="60"/>
      <c r="P30" s="119"/>
      <c r="Q30" s="117" t="s">
        <v>64</v>
      </c>
      <c r="R30" s="118" t="s">
        <v>65</v>
      </c>
      <c r="S30" s="118" t="s">
        <v>66</v>
      </c>
      <c r="T30" s="118" t="s">
        <v>67</v>
      </c>
      <c r="U30" s="121"/>
      <c r="V30" s="123"/>
      <c r="W30" s="124"/>
    </row>
    <row r="31" spans="1:23" x14ac:dyDescent="0.3">
      <c r="B31" s="55"/>
      <c r="C31" s="55"/>
      <c r="D31" s="62"/>
      <c r="E31" s="64"/>
      <c r="F31" s="55"/>
      <c r="G31" s="55"/>
      <c r="H31" s="55"/>
      <c r="I31" s="24">
        <v>6000</v>
      </c>
      <c r="J31" s="24">
        <v>8000</v>
      </c>
      <c r="K31" s="24">
        <v>9000</v>
      </c>
      <c r="L31" s="55"/>
      <c r="M31" s="25">
        <v>7.0000000000000007E-2</v>
      </c>
      <c r="N31" s="26">
        <v>250</v>
      </c>
      <c r="O31" s="60"/>
      <c r="P31" s="119"/>
      <c r="Q31" s="117"/>
      <c r="R31" s="118"/>
      <c r="S31" s="118"/>
      <c r="T31" s="118"/>
      <c r="U31" s="122"/>
      <c r="V31" s="123"/>
      <c r="W31" s="124"/>
    </row>
    <row r="32" spans="1:23" x14ac:dyDescent="0.3">
      <c r="B32" s="27"/>
      <c r="C32" s="28" t="s">
        <v>30</v>
      </c>
      <c r="D32" s="29"/>
      <c r="E32" s="29"/>
      <c r="F32" s="29"/>
      <c r="G32" s="18">
        <v>100</v>
      </c>
      <c r="H32" s="29"/>
      <c r="I32" s="29"/>
      <c r="J32" s="29" t="s">
        <v>51</v>
      </c>
      <c r="K32" s="29"/>
      <c r="L32" s="29"/>
      <c r="M32" s="29"/>
      <c r="N32" s="29"/>
      <c r="O32" s="29"/>
      <c r="P32" s="46"/>
      <c r="Q32" s="48"/>
      <c r="R32" s="29"/>
      <c r="S32" s="29"/>
      <c r="T32" s="29"/>
      <c r="U32" s="29"/>
      <c r="V32" s="29"/>
      <c r="W32" s="29"/>
    </row>
    <row r="33" spans="2:23" x14ac:dyDescent="0.3">
      <c r="B33" s="27"/>
      <c r="C33" s="30" t="s">
        <v>33</v>
      </c>
      <c r="D33" s="29"/>
      <c r="E33" s="29"/>
      <c r="F33" s="29"/>
      <c r="G33" s="18">
        <v>110</v>
      </c>
      <c r="H33" s="29"/>
      <c r="I33" s="29"/>
      <c r="J33" s="29"/>
      <c r="K33" s="29"/>
      <c r="L33" s="29"/>
      <c r="M33" s="29"/>
      <c r="N33" s="29"/>
      <c r="O33" s="29"/>
      <c r="P33" s="46"/>
      <c r="Q33" s="48"/>
      <c r="R33" s="29"/>
      <c r="S33" s="29"/>
      <c r="T33" s="29"/>
      <c r="U33" s="29"/>
      <c r="V33" s="29"/>
      <c r="W33" s="29"/>
    </row>
    <row r="34" spans="2:23" x14ac:dyDescent="0.3">
      <c r="B34" s="27"/>
      <c r="C34" s="30" t="s">
        <v>34</v>
      </c>
      <c r="D34" s="29"/>
      <c r="E34" s="29"/>
      <c r="F34" s="29"/>
      <c r="G34" s="18">
        <v>115</v>
      </c>
      <c r="H34" s="29"/>
      <c r="I34" s="29"/>
      <c r="J34" s="29"/>
      <c r="K34" s="29"/>
      <c r="L34" s="29"/>
      <c r="M34" s="29"/>
      <c r="N34" s="29"/>
      <c r="O34" s="29"/>
      <c r="P34" s="46"/>
      <c r="Q34" s="48"/>
      <c r="R34" s="29"/>
      <c r="S34" s="29"/>
      <c r="T34" s="29"/>
      <c r="U34" s="29"/>
      <c r="V34" s="29"/>
      <c r="W34" s="29"/>
    </row>
    <row r="35" spans="2:23" x14ac:dyDescent="0.3">
      <c r="B35" s="27" t="s">
        <v>52</v>
      </c>
      <c r="C35" s="31" t="s">
        <v>35</v>
      </c>
      <c r="D35" s="29">
        <v>50</v>
      </c>
      <c r="E35" s="29">
        <v>20</v>
      </c>
      <c r="F35" s="32">
        <f>E35*D35</f>
        <v>1000</v>
      </c>
      <c r="G35" s="18">
        <v>120</v>
      </c>
      <c r="H35" s="33">
        <f>G35*F35</f>
        <v>120000</v>
      </c>
      <c r="I35" s="29"/>
      <c r="J35" s="34">
        <f>J31</f>
        <v>8000</v>
      </c>
      <c r="K35" s="29"/>
      <c r="L35" s="33">
        <f>SUM(H35:K35)</f>
        <v>128000</v>
      </c>
      <c r="M35" s="35">
        <f>M31*F35</f>
        <v>70</v>
      </c>
      <c r="N35" s="35">
        <f>N31*M35</f>
        <v>17500</v>
      </c>
      <c r="O35" s="35">
        <f>N35+L35</f>
        <v>145500</v>
      </c>
      <c r="P35" s="47">
        <f>O35/F35</f>
        <v>145.5</v>
      </c>
      <c r="Q35" s="48">
        <v>133.28</v>
      </c>
      <c r="R35" s="29">
        <v>132.87</v>
      </c>
      <c r="S35" s="29">
        <v>143.55000000000001</v>
      </c>
      <c r="T35" s="29">
        <v>140.82</v>
      </c>
      <c r="U35" s="36">
        <f>AVERAGE(Q35:T35)</f>
        <v>137.63</v>
      </c>
      <c r="V35" s="51">
        <f>P35-U35</f>
        <v>7.8700000000000045</v>
      </c>
      <c r="W35" s="52">
        <f>V35/U35</f>
        <v>5.7182300370558777E-2</v>
      </c>
    </row>
    <row r="36" spans="2:23" x14ac:dyDescent="0.3">
      <c r="B36" s="27" t="s">
        <v>53</v>
      </c>
      <c r="C36" s="31" t="s">
        <v>36</v>
      </c>
      <c r="D36" s="33">
        <f>F36/E36</f>
        <v>44.444444444444443</v>
      </c>
      <c r="E36" s="29">
        <v>18</v>
      </c>
      <c r="F36" s="32">
        <v>800</v>
      </c>
      <c r="G36" s="18">
        <v>130</v>
      </c>
      <c r="H36" s="33">
        <f>G36*F36</f>
        <v>104000</v>
      </c>
      <c r="I36" s="29"/>
      <c r="J36" s="34">
        <f>J31</f>
        <v>8000</v>
      </c>
      <c r="K36" s="29"/>
      <c r="L36" s="33">
        <f>SUM(H36:K36)</f>
        <v>112000</v>
      </c>
      <c r="M36" s="35">
        <f>M31*F36</f>
        <v>56.000000000000007</v>
      </c>
      <c r="N36" s="35">
        <f>N31*M36</f>
        <v>14000.000000000002</v>
      </c>
      <c r="O36" s="35">
        <f>N36+L36</f>
        <v>126000</v>
      </c>
      <c r="P36" s="47">
        <f>O36/F36</f>
        <v>157.5</v>
      </c>
      <c r="Q36" s="48">
        <f>Q35</f>
        <v>133.28</v>
      </c>
      <c r="R36" s="29">
        <v>132.87</v>
      </c>
      <c r="S36" s="29">
        <f>S35</f>
        <v>143.55000000000001</v>
      </c>
      <c r="T36" s="29">
        <f>T35</f>
        <v>140.82</v>
      </c>
      <c r="U36" s="36">
        <f>AVERAGE(Q36:T36)</f>
        <v>137.63</v>
      </c>
      <c r="V36" s="51">
        <f>P36-U36</f>
        <v>19.870000000000005</v>
      </c>
      <c r="W36" s="52">
        <f>V36/U36</f>
        <v>0.14437259318462548</v>
      </c>
    </row>
    <row r="37" spans="2:23" x14ac:dyDescent="0.3">
      <c r="B37" s="5"/>
      <c r="C37" s="37" t="s">
        <v>54</v>
      </c>
      <c r="D37" t="s">
        <v>55</v>
      </c>
      <c r="Q37" s="48"/>
      <c r="R37" s="29"/>
      <c r="S37" s="29"/>
      <c r="T37" s="29"/>
      <c r="U37" s="29"/>
      <c r="V37" s="29"/>
      <c r="W37" s="29"/>
    </row>
    <row r="38" spans="2:23" x14ac:dyDescent="0.3">
      <c r="B38" s="38"/>
      <c r="D38" s="39" t="str">
        <f>B35</f>
        <v xml:space="preserve">1. Ali </v>
      </c>
      <c r="E38" s="40"/>
      <c r="F38" s="40"/>
      <c r="G38" s="40"/>
      <c r="H38" s="40"/>
      <c r="I38" s="40"/>
      <c r="J38" s="40"/>
      <c r="K38" s="41"/>
      <c r="L38" s="33">
        <f>L35*25</f>
        <v>3200000</v>
      </c>
      <c r="M38" s="29"/>
      <c r="N38" s="29"/>
      <c r="O38" s="33">
        <f>O35*25</f>
        <v>3637500</v>
      </c>
      <c r="P38" s="29"/>
    </row>
    <row r="39" spans="2:23" x14ac:dyDescent="0.3">
      <c r="B39" s="38"/>
      <c r="D39" s="39" t="str">
        <f>B36</f>
        <v>2. Badu</v>
      </c>
      <c r="E39" s="40"/>
      <c r="F39" s="40"/>
      <c r="G39" s="40"/>
      <c r="H39" s="40"/>
      <c r="I39" s="40"/>
      <c r="J39" s="40"/>
      <c r="K39" s="41"/>
      <c r="L39" s="33">
        <f>L36*25</f>
        <v>2800000</v>
      </c>
      <c r="M39" s="29"/>
      <c r="N39" s="29"/>
      <c r="O39" s="33">
        <f>O36*25</f>
        <v>3150000</v>
      </c>
      <c r="P39" s="29"/>
    </row>
    <row r="40" spans="2:23" x14ac:dyDescent="0.3">
      <c r="B40" s="38"/>
    </row>
    <row r="41" spans="2:23" x14ac:dyDescent="0.3">
      <c r="B41" s="38"/>
    </row>
    <row r="42" spans="2:23" x14ac:dyDescent="0.3">
      <c r="B42" s="5" t="s">
        <v>56</v>
      </c>
    </row>
    <row r="43" spans="2:23" x14ac:dyDescent="0.3">
      <c r="B43" s="53" t="s">
        <v>40</v>
      </c>
      <c r="C43" s="53" t="s">
        <v>41</v>
      </c>
      <c r="D43" s="68" t="s">
        <v>42</v>
      </c>
      <c r="E43" s="69"/>
      <c r="F43" s="70"/>
      <c r="G43" s="53" t="s">
        <v>17</v>
      </c>
      <c r="H43" s="53" t="s">
        <v>43</v>
      </c>
      <c r="I43" s="65" t="s">
        <v>44</v>
      </c>
      <c r="J43" s="66"/>
      <c r="K43" s="67"/>
      <c r="L43" s="53" t="s">
        <v>45</v>
      </c>
      <c r="M43" s="56" t="s">
        <v>19</v>
      </c>
      <c r="N43" s="57"/>
      <c r="O43" s="60" t="s">
        <v>46</v>
      </c>
      <c r="P43" s="119" t="s">
        <v>47</v>
      </c>
      <c r="Q43" s="114" t="s">
        <v>68</v>
      </c>
      <c r="R43" s="115"/>
      <c r="S43" s="115"/>
      <c r="T43" s="116"/>
      <c r="U43" s="120" t="s">
        <v>69</v>
      </c>
      <c r="V43" s="123" t="s">
        <v>70</v>
      </c>
      <c r="W43" s="124" t="s">
        <v>71</v>
      </c>
    </row>
    <row r="44" spans="2:23" x14ac:dyDescent="0.3">
      <c r="B44" s="54"/>
      <c r="C44" s="54"/>
      <c r="D44" s="61" t="s">
        <v>48</v>
      </c>
      <c r="E44" s="63" t="s">
        <v>49</v>
      </c>
      <c r="F44" s="53" t="s">
        <v>50</v>
      </c>
      <c r="G44" s="54"/>
      <c r="H44" s="54"/>
      <c r="I44" s="22" t="s">
        <v>27</v>
      </c>
      <c r="J44" s="23" t="s">
        <v>28</v>
      </c>
      <c r="K44" s="23" t="s">
        <v>29</v>
      </c>
      <c r="L44" s="54"/>
      <c r="M44" s="58"/>
      <c r="N44" s="59"/>
      <c r="O44" s="60"/>
      <c r="P44" s="119"/>
      <c r="Q44" s="117" t="s">
        <v>64</v>
      </c>
      <c r="R44" s="118" t="s">
        <v>65</v>
      </c>
      <c r="S44" s="118" t="s">
        <v>66</v>
      </c>
      <c r="T44" s="118" t="s">
        <v>67</v>
      </c>
      <c r="U44" s="121"/>
      <c r="V44" s="123"/>
      <c r="W44" s="124"/>
    </row>
    <row r="45" spans="2:23" x14ac:dyDescent="0.3">
      <c r="B45" s="55"/>
      <c r="C45" s="55"/>
      <c r="D45" s="62"/>
      <c r="E45" s="64"/>
      <c r="F45" s="55"/>
      <c r="G45" s="55"/>
      <c r="H45" s="55"/>
      <c r="I45" s="24">
        <v>6000</v>
      </c>
      <c r="J45" s="24">
        <v>8000</v>
      </c>
      <c r="K45" s="24">
        <v>9000</v>
      </c>
      <c r="L45" s="55"/>
      <c r="M45" s="25">
        <v>7.0000000000000007E-2</v>
      </c>
      <c r="N45" s="26">
        <v>250</v>
      </c>
      <c r="O45" s="60"/>
      <c r="P45" s="119"/>
      <c r="Q45" s="117"/>
      <c r="R45" s="118"/>
      <c r="S45" s="118"/>
      <c r="T45" s="118"/>
      <c r="U45" s="122"/>
      <c r="V45" s="123"/>
      <c r="W45" s="124"/>
    </row>
    <row r="46" spans="2:23" x14ac:dyDescent="0.3">
      <c r="B46" s="27"/>
      <c r="C46" s="28" t="s">
        <v>30</v>
      </c>
      <c r="D46" s="29"/>
      <c r="E46" s="29"/>
      <c r="F46" s="29"/>
      <c r="G46" s="18">
        <v>100</v>
      </c>
      <c r="H46" s="29"/>
      <c r="I46" s="29"/>
      <c r="J46" s="29"/>
      <c r="K46" s="29"/>
      <c r="L46" s="29"/>
      <c r="M46" s="29"/>
      <c r="N46" s="29"/>
      <c r="O46" s="29"/>
      <c r="P46" s="46"/>
      <c r="Q46" s="48"/>
      <c r="R46" s="29"/>
      <c r="S46" s="29"/>
      <c r="T46" s="29"/>
      <c r="U46" s="29"/>
      <c r="V46" s="29"/>
      <c r="W46" s="29"/>
    </row>
    <row r="47" spans="2:23" x14ac:dyDescent="0.3">
      <c r="B47" s="27"/>
      <c r="C47" s="30" t="s">
        <v>33</v>
      </c>
      <c r="D47" s="29"/>
      <c r="E47" s="29"/>
      <c r="F47" s="29"/>
      <c r="G47" s="18">
        <v>110</v>
      </c>
      <c r="H47" s="29"/>
      <c r="I47" s="29"/>
      <c r="J47" s="29"/>
      <c r="K47" s="29"/>
      <c r="L47" s="29"/>
      <c r="M47" s="29"/>
      <c r="N47" s="29"/>
      <c r="O47" s="29"/>
      <c r="P47" s="46"/>
      <c r="Q47" s="48"/>
      <c r="R47" s="29"/>
      <c r="S47" s="29"/>
      <c r="T47" s="29"/>
      <c r="U47" s="29"/>
      <c r="V47" s="29"/>
      <c r="W47" s="29"/>
    </row>
    <row r="48" spans="2:23" x14ac:dyDescent="0.3">
      <c r="B48" s="27" t="s">
        <v>57</v>
      </c>
      <c r="C48" s="30" t="s">
        <v>34</v>
      </c>
      <c r="D48" s="32">
        <f>F48/E48</f>
        <v>47.826086956521742</v>
      </c>
      <c r="E48" s="29">
        <v>23</v>
      </c>
      <c r="F48" s="32">
        <v>1100</v>
      </c>
      <c r="G48" s="18">
        <v>115</v>
      </c>
      <c r="H48" s="33">
        <f>G48*F48</f>
        <v>126500</v>
      </c>
      <c r="I48" s="34">
        <f>I45</f>
        <v>6000</v>
      </c>
      <c r="J48" s="29"/>
      <c r="K48" s="29"/>
      <c r="L48" s="33">
        <f>SUM(H48:K48)</f>
        <v>132500</v>
      </c>
      <c r="M48" s="35">
        <f>M45*F48</f>
        <v>77.000000000000014</v>
      </c>
      <c r="N48" s="35">
        <f>N45*M48</f>
        <v>19250.000000000004</v>
      </c>
      <c r="O48" s="35">
        <f>N48+L48</f>
        <v>151750</v>
      </c>
      <c r="P48" s="49">
        <f>O48/F48</f>
        <v>137.95454545454547</v>
      </c>
      <c r="Q48" s="48">
        <v>253.45</v>
      </c>
      <c r="R48" s="29">
        <v>156.59</v>
      </c>
      <c r="S48" s="29">
        <v>132.56</v>
      </c>
      <c r="T48" s="29">
        <v>155.91999999999999</v>
      </c>
      <c r="U48" s="36">
        <f>AVERAGE(Q48:T48)</f>
        <v>174.62999999999997</v>
      </c>
      <c r="V48" s="51">
        <f>P48-U48</f>
        <v>-36.6754545454545</v>
      </c>
      <c r="W48" s="52">
        <f>V48/U48</f>
        <v>-0.21001806416683563</v>
      </c>
    </row>
    <row r="49" spans="2:23" x14ac:dyDescent="0.3">
      <c r="B49" s="27"/>
      <c r="C49" s="31" t="s">
        <v>35</v>
      </c>
      <c r="D49" s="29"/>
      <c r="E49" s="29"/>
      <c r="F49" s="29"/>
      <c r="G49" s="18">
        <v>120</v>
      </c>
      <c r="H49" s="29"/>
      <c r="I49" s="29"/>
      <c r="J49" s="29"/>
      <c r="K49" s="29"/>
      <c r="L49" s="29"/>
      <c r="M49" s="29"/>
      <c r="N49" s="29"/>
      <c r="O49" s="29"/>
      <c r="P49" s="46"/>
      <c r="Q49" s="48"/>
      <c r="R49" s="29"/>
      <c r="S49" s="29"/>
      <c r="T49" s="29"/>
      <c r="U49" s="29"/>
      <c r="V49" s="29"/>
      <c r="W49" s="29"/>
    </row>
    <row r="50" spans="2:23" x14ac:dyDescent="0.3">
      <c r="B50" s="27"/>
      <c r="C50" s="31" t="s">
        <v>36</v>
      </c>
      <c r="D50" s="29"/>
      <c r="E50" s="29"/>
      <c r="F50" s="29"/>
      <c r="G50" s="18">
        <v>130</v>
      </c>
      <c r="H50" s="29"/>
      <c r="I50" s="29"/>
      <c r="J50" s="29"/>
      <c r="K50" s="29"/>
      <c r="L50" s="29"/>
      <c r="M50" s="29"/>
      <c r="N50" s="29"/>
      <c r="O50" s="29"/>
      <c r="P50" s="46"/>
      <c r="Q50" s="48"/>
      <c r="R50" s="29"/>
      <c r="S50" s="29"/>
      <c r="T50" s="29"/>
      <c r="U50" s="29"/>
      <c r="V50" s="29"/>
      <c r="W50" s="29"/>
    </row>
    <row r="51" spans="2:23" x14ac:dyDescent="0.3">
      <c r="C51" s="37" t="s">
        <v>54</v>
      </c>
      <c r="D51" t="s">
        <v>55</v>
      </c>
    </row>
    <row r="52" spans="2:23" x14ac:dyDescent="0.3">
      <c r="D52" s="39" t="str">
        <f>B48</f>
        <v>1. Ahmad</v>
      </c>
      <c r="E52" s="40"/>
      <c r="F52" s="40"/>
      <c r="G52" s="40"/>
      <c r="H52" s="40"/>
      <c r="I52" s="40"/>
      <c r="J52" s="40"/>
      <c r="K52" s="41"/>
      <c r="L52" s="33">
        <f>L48*25</f>
        <v>3312500</v>
      </c>
      <c r="M52" s="29"/>
      <c r="N52" s="29"/>
      <c r="O52" s="33">
        <f>O48*25</f>
        <v>3793750</v>
      </c>
      <c r="P52" s="29"/>
    </row>
    <row r="54" spans="2:23" x14ac:dyDescent="0.3">
      <c r="B54" s="5" t="s">
        <v>58</v>
      </c>
    </row>
    <row r="55" spans="2:23" ht="15" customHeight="1" x14ac:dyDescent="0.3">
      <c r="B55" s="53" t="s">
        <v>40</v>
      </c>
      <c r="C55" s="53" t="s">
        <v>41</v>
      </c>
      <c r="D55" s="68" t="s">
        <v>42</v>
      </c>
      <c r="E55" s="69"/>
      <c r="F55" s="70"/>
      <c r="G55" s="53" t="s">
        <v>17</v>
      </c>
      <c r="H55" s="53" t="s">
        <v>43</v>
      </c>
      <c r="I55" s="65" t="s">
        <v>44</v>
      </c>
      <c r="J55" s="66"/>
      <c r="K55" s="67"/>
      <c r="L55" s="53" t="s">
        <v>45</v>
      </c>
      <c r="M55" s="56" t="s">
        <v>19</v>
      </c>
      <c r="N55" s="57"/>
      <c r="O55" s="60" t="s">
        <v>46</v>
      </c>
      <c r="P55" s="119" t="s">
        <v>47</v>
      </c>
      <c r="Q55" s="114" t="s">
        <v>68</v>
      </c>
      <c r="R55" s="115"/>
      <c r="S55" s="115"/>
      <c r="T55" s="116"/>
      <c r="U55" s="120" t="s">
        <v>69</v>
      </c>
      <c r="V55" s="123" t="s">
        <v>70</v>
      </c>
      <c r="W55" s="124" t="s">
        <v>71</v>
      </c>
    </row>
    <row r="56" spans="2:23" ht="15" customHeight="1" x14ac:dyDescent="0.3">
      <c r="B56" s="54"/>
      <c r="C56" s="54"/>
      <c r="D56" s="61" t="s">
        <v>48</v>
      </c>
      <c r="E56" s="63" t="s">
        <v>49</v>
      </c>
      <c r="F56" s="53" t="s">
        <v>50</v>
      </c>
      <c r="G56" s="54"/>
      <c r="H56" s="54"/>
      <c r="I56" s="22" t="s">
        <v>27</v>
      </c>
      <c r="J56" s="23" t="s">
        <v>28</v>
      </c>
      <c r="K56" s="23" t="s">
        <v>29</v>
      </c>
      <c r="L56" s="54"/>
      <c r="M56" s="58"/>
      <c r="N56" s="59"/>
      <c r="O56" s="60"/>
      <c r="P56" s="119"/>
      <c r="Q56" s="117" t="s">
        <v>64</v>
      </c>
      <c r="R56" s="118" t="s">
        <v>65</v>
      </c>
      <c r="S56" s="118" t="s">
        <v>66</v>
      </c>
      <c r="T56" s="118" t="s">
        <v>67</v>
      </c>
      <c r="U56" s="121"/>
      <c r="V56" s="123"/>
      <c r="W56" s="124"/>
    </row>
    <row r="57" spans="2:23" x14ac:dyDescent="0.3">
      <c r="B57" s="55"/>
      <c r="C57" s="55"/>
      <c r="D57" s="62"/>
      <c r="E57" s="64"/>
      <c r="F57" s="55"/>
      <c r="G57" s="55"/>
      <c r="H57" s="55"/>
      <c r="I57" s="24">
        <v>6000</v>
      </c>
      <c r="J57" s="24">
        <v>8000</v>
      </c>
      <c r="K57" s="24">
        <v>9000</v>
      </c>
      <c r="L57" s="55"/>
      <c r="M57" s="25">
        <v>7.0000000000000007E-2</v>
      </c>
      <c r="N57" s="26">
        <v>250</v>
      </c>
      <c r="O57" s="60"/>
      <c r="P57" s="119"/>
      <c r="Q57" s="117"/>
      <c r="R57" s="118"/>
      <c r="S57" s="118"/>
      <c r="T57" s="118"/>
      <c r="U57" s="122"/>
      <c r="V57" s="123"/>
      <c r="W57" s="124"/>
    </row>
    <row r="58" spans="2:23" x14ac:dyDescent="0.3">
      <c r="B58" s="27"/>
      <c r="C58" s="28" t="s">
        <v>30</v>
      </c>
      <c r="D58" s="29"/>
      <c r="E58" s="29"/>
      <c r="F58" s="29"/>
      <c r="G58" s="18">
        <v>100</v>
      </c>
      <c r="H58" s="29"/>
      <c r="I58" s="29"/>
      <c r="J58" s="29"/>
      <c r="K58" s="29"/>
      <c r="L58" s="29"/>
      <c r="M58" s="29"/>
      <c r="N58" s="29"/>
      <c r="O58" s="29"/>
      <c r="P58" s="46"/>
      <c r="Q58" s="48"/>
      <c r="R58" s="29"/>
      <c r="S58" s="29"/>
      <c r="T58" s="29"/>
      <c r="U58" s="29"/>
      <c r="V58" s="29"/>
      <c r="W58" s="29"/>
    </row>
    <row r="59" spans="2:23" x14ac:dyDescent="0.3">
      <c r="B59" s="27" t="s">
        <v>59</v>
      </c>
      <c r="C59" s="30" t="s">
        <v>33</v>
      </c>
      <c r="D59" s="29">
        <v>50</v>
      </c>
      <c r="E59" s="29">
        <v>24</v>
      </c>
      <c r="F59" s="29">
        <f>E59*D59</f>
        <v>1200</v>
      </c>
      <c r="G59" s="18">
        <v>110</v>
      </c>
      <c r="H59" s="33">
        <f>G59*F59</f>
        <v>132000</v>
      </c>
      <c r="I59" s="29"/>
      <c r="J59" s="29"/>
      <c r="K59" s="34">
        <f>K57</f>
        <v>9000</v>
      </c>
      <c r="L59" s="33">
        <f>SUM(H59:K59)</f>
        <v>141000</v>
      </c>
      <c r="M59" s="35">
        <f>M57*F59</f>
        <v>84.000000000000014</v>
      </c>
      <c r="N59" s="35">
        <f>N57*M59</f>
        <v>21000.000000000004</v>
      </c>
      <c r="O59" s="35">
        <f>N59+L59</f>
        <v>162000</v>
      </c>
      <c r="P59" s="50">
        <f>O59/F59</f>
        <v>135</v>
      </c>
      <c r="Q59" s="48">
        <v>166.95</v>
      </c>
      <c r="R59" s="29">
        <f>R48</f>
        <v>156.59</v>
      </c>
      <c r="S59" s="29">
        <f>S48</f>
        <v>132.56</v>
      </c>
      <c r="T59" s="29">
        <f>T48</f>
        <v>155.91999999999999</v>
      </c>
      <c r="U59" s="36">
        <f>AVERAGE(Q59:T59)</f>
        <v>153.005</v>
      </c>
      <c r="V59" s="51">
        <f>P59-U59</f>
        <v>-18.004999999999995</v>
      </c>
      <c r="W59" s="52">
        <f>V59/U59</f>
        <v>-0.11767589294467498</v>
      </c>
    </row>
    <row r="60" spans="2:23" x14ac:dyDescent="0.3">
      <c r="B60" s="27"/>
      <c r="C60" s="30" t="s">
        <v>34</v>
      </c>
      <c r="D60" s="32"/>
      <c r="E60" s="29"/>
      <c r="F60" s="32"/>
      <c r="G60" s="18">
        <v>115</v>
      </c>
      <c r="H60" s="33">
        <f>G60*F60</f>
        <v>0</v>
      </c>
      <c r="I60" s="34"/>
      <c r="J60" s="29"/>
      <c r="K60" s="29"/>
      <c r="L60" s="33">
        <f>SUM(H60:K60)</f>
        <v>0</v>
      </c>
      <c r="M60" s="35">
        <f>M57*F60</f>
        <v>0</v>
      </c>
      <c r="N60" s="35">
        <f>N57*M60</f>
        <v>0</v>
      </c>
      <c r="O60" s="35">
        <f>N60+L60</f>
        <v>0</v>
      </c>
      <c r="P60" s="49"/>
      <c r="Q60" s="48"/>
      <c r="R60" s="29"/>
      <c r="S60" s="29"/>
      <c r="T60" s="29"/>
      <c r="U60" s="29"/>
      <c r="V60" s="29"/>
      <c r="W60" s="29"/>
    </row>
    <row r="61" spans="2:23" x14ac:dyDescent="0.3">
      <c r="B61" s="27"/>
      <c r="C61" s="31" t="s">
        <v>35</v>
      </c>
      <c r="D61" s="29"/>
      <c r="E61" s="29"/>
      <c r="F61" s="29"/>
      <c r="G61" s="18">
        <v>120</v>
      </c>
      <c r="H61" s="29"/>
      <c r="I61" s="29"/>
      <c r="J61" s="29"/>
      <c r="K61" s="29"/>
      <c r="L61" s="29"/>
      <c r="M61" s="29"/>
      <c r="N61" s="29"/>
      <c r="O61" s="29"/>
      <c r="P61" s="46"/>
      <c r="Q61" s="48"/>
      <c r="R61" s="29"/>
      <c r="S61" s="29"/>
      <c r="T61" s="29"/>
      <c r="U61" s="29"/>
      <c r="V61" s="29"/>
      <c r="W61" s="29"/>
    </row>
    <row r="62" spans="2:23" x14ac:dyDescent="0.3">
      <c r="B62" s="27"/>
      <c r="C62" s="31" t="s">
        <v>36</v>
      </c>
      <c r="D62" s="29"/>
      <c r="E62" s="29"/>
      <c r="F62" s="29"/>
      <c r="G62" s="18">
        <v>130</v>
      </c>
      <c r="H62" s="29"/>
      <c r="I62" s="29"/>
      <c r="J62" s="29"/>
      <c r="K62" s="29"/>
      <c r="L62" s="29"/>
      <c r="M62" s="29"/>
      <c r="N62" s="29"/>
      <c r="O62" s="29"/>
      <c r="P62" s="46"/>
      <c r="Q62" s="48"/>
      <c r="R62" s="29"/>
      <c r="S62" s="29"/>
      <c r="T62" s="29"/>
      <c r="U62" s="29"/>
      <c r="V62" s="29"/>
      <c r="W62" s="29"/>
    </row>
    <row r="63" spans="2:23" x14ac:dyDescent="0.3">
      <c r="C63" s="37" t="s">
        <v>54</v>
      </c>
      <c r="D63" t="s">
        <v>55</v>
      </c>
    </row>
    <row r="64" spans="2:23" x14ac:dyDescent="0.3">
      <c r="D64" s="39" t="str">
        <f>B59</f>
        <v>1. Surip</v>
      </c>
      <c r="E64" s="40"/>
      <c r="F64" s="40"/>
      <c r="G64" s="40"/>
      <c r="H64" s="40"/>
      <c r="I64" s="40"/>
      <c r="J64" s="40"/>
      <c r="K64" s="41"/>
      <c r="L64" s="33">
        <f>L59*25</f>
        <v>3525000</v>
      </c>
      <c r="M64" s="29"/>
      <c r="N64" s="29"/>
      <c r="O64" s="33">
        <f>O59*25</f>
        <v>4050000</v>
      </c>
      <c r="P64" s="29"/>
    </row>
    <row r="66" spans="1:23" x14ac:dyDescent="0.3">
      <c r="B66" s="5" t="s">
        <v>60</v>
      </c>
      <c r="J66" s="44"/>
      <c r="M66" s="45"/>
    </row>
    <row r="67" spans="1:23" x14ac:dyDescent="0.3">
      <c r="B67" s="53" t="s">
        <v>40</v>
      </c>
      <c r="C67" s="53" t="s">
        <v>41</v>
      </c>
      <c r="D67" s="68" t="s">
        <v>42</v>
      </c>
      <c r="E67" s="69"/>
      <c r="F67" s="70"/>
      <c r="G67" s="53" t="s">
        <v>17</v>
      </c>
      <c r="H67" s="53" t="s">
        <v>43</v>
      </c>
      <c r="I67" s="65" t="s">
        <v>44</v>
      </c>
      <c r="J67" s="66"/>
      <c r="K67" s="67"/>
      <c r="L67" s="53" t="s">
        <v>45</v>
      </c>
      <c r="M67" s="56" t="s">
        <v>19</v>
      </c>
      <c r="N67" s="57"/>
      <c r="O67" s="60" t="s">
        <v>46</v>
      </c>
      <c r="P67" s="119" t="s">
        <v>47</v>
      </c>
      <c r="Q67" s="114" t="s">
        <v>68</v>
      </c>
      <c r="R67" s="115"/>
      <c r="S67" s="115"/>
      <c r="T67" s="116"/>
      <c r="U67" s="120" t="s">
        <v>69</v>
      </c>
      <c r="V67" s="123" t="s">
        <v>70</v>
      </c>
      <c r="W67" s="124" t="s">
        <v>71</v>
      </c>
    </row>
    <row r="68" spans="1:23" x14ac:dyDescent="0.3">
      <c r="B68" s="54"/>
      <c r="C68" s="54"/>
      <c r="D68" s="61" t="s">
        <v>48</v>
      </c>
      <c r="E68" s="63" t="s">
        <v>49</v>
      </c>
      <c r="F68" s="53" t="s">
        <v>50</v>
      </c>
      <c r="G68" s="54"/>
      <c r="H68" s="54"/>
      <c r="I68" s="22" t="s">
        <v>27</v>
      </c>
      <c r="J68" s="23" t="s">
        <v>28</v>
      </c>
      <c r="K68" s="23" t="s">
        <v>29</v>
      </c>
      <c r="L68" s="54"/>
      <c r="M68" s="58"/>
      <c r="N68" s="59"/>
      <c r="O68" s="60"/>
      <c r="P68" s="119"/>
      <c r="Q68" s="117" t="s">
        <v>64</v>
      </c>
      <c r="R68" s="118" t="s">
        <v>65</v>
      </c>
      <c r="S68" s="118" t="s">
        <v>66</v>
      </c>
      <c r="T68" s="118" t="s">
        <v>67</v>
      </c>
      <c r="U68" s="121"/>
      <c r="V68" s="123"/>
      <c r="W68" s="124"/>
    </row>
    <row r="69" spans="1:23" x14ac:dyDescent="0.3">
      <c r="B69" s="55"/>
      <c r="C69" s="55"/>
      <c r="D69" s="62"/>
      <c r="E69" s="64"/>
      <c r="F69" s="55"/>
      <c r="G69" s="55"/>
      <c r="H69" s="55"/>
      <c r="I69" s="24">
        <v>6000</v>
      </c>
      <c r="J69" s="24">
        <v>8000</v>
      </c>
      <c r="K69" s="24">
        <v>9000</v>
      </c>
      <c r="L69" s="55"/>
      <c r="M69" s="25">
        <v>7.0000000000000007E-2</v>
      </c>
      <c r="N69" s="26">
        <v>250</v>
      </c>
      <c r="O69" s="60"/>
      <c r="P69" s="119"/>
      <c r="Q69" s="117"/>
      <c r="R69" s="118"/>
      <c r="S69" s="118"/>
      <c r="T69" s="118"/>
      <c r="U69" s="122"/>
      <c r="V69" s="123"/>
      <c r="W69" s="124"/>
    </row>
    <row r="70" spans="1:23" x14ac:dyDescent="0.3">
      <c r="B70" s="27"/>
      <c r="C70" s="28" t="s">
        <v>30</v>
      </c>
      <c r="D70" s="29"/>
      <c r="E70" s="29"/>
      <c r="F70" s="29"/>
      <c r="G70" s="18">
        <v>100</v>
      </c>
      <c r="H70" s="29"/>
      <c r="I70" s="29"/>
      <c r="J70" s="29"/>
      <c r="K70" s="29"/>
      <c r="L70" s="29"/>
      <c r="M70" s="29"/>
      <c r="N70" s="29"/>
      <c r="O70" s="29"/>
      <c r="P70" s="46"/>
      <c r="Q70" s="48"/>
      <c r="R70" s="29"/>
      <c r="S70" s="29"/>
      <c r="T70" s="29"/>
      <c r="U70" s="29"/>
      <c r="V70" s="29"/>
      <c r="W70" s="29"/>
    </row>
    <row r="71" spans="1:23" x14ac:dyDescent="0.3">
      <c r="B71" s="27" t="s">
        <v>61</v>
      </c>
      <c r="C71" s="30" t="s">
        <v>33</v>
      </c>
      <c r="D71" s="29"/>
      <c r="E71" s="29"/>
      <c r="F71" s="29"/>
      <c r="G71" s="18">
        <v>110</v>
      </c>
      <c r="H71" s="33">
        <f>G71*F71</f>
        <v>0</v>
      </c>
      <c r="I71" s="29"/>
      <c r="J71" s="29"/>
      <c r="K71" s="34"/>
      <c r="L71" s="33">
        <f>SUM(H71:K71)</f>
        <v>0</v>
      </c>
      <c r="M71" s="35">
        <f>M69*F71</f>
        <v>0</v>
      </c>
      <c r="N71" s="35">
        <f>N69*M71</f>
        <v>0</v>
      </c>
      <c r="O71" s="35">
        <f>N71+L71</f>
        <v>0</v>
      </c>
      <c r="P71" s="50"/>
      <c r="Q71" s="48"/>
      <c r="R71" s="29"/>
      <c r="S71" s="29"/>
      <c r="T71" s="29"/>
      <c r="U71" s="29"/>
      <c r="V71" s="29"/>
      <c r="W71" s="29"/>
    </row>
    <row r="72" spans="1:23" x14ac:dyDescent="0.3">
      <c r="B72" s="27"/>
      <c r="C72" s="30" t="s">
        <v>34</v>
      </c>
      <c r="D72" s="32"/>
      <c r="E72" s="29"/>
      <c r="F72" s="32"/>
      <c r="G72" s="18">
        <v>115</v>
      </c>
      <c r="H72" s="33">
        <f>G72*F72</f>
        <v>0</v>
      </c>
      <c r="I72" s="34"/>
      <c r="J72" s="29"/>
      <c r="K72" s="29"/>
      <c r="L72" s="33">
        <f>SUM(H72:K72)</f>
        <v>0</v>
      </c>
      <c r="M72" s="35">
        <f>$M$69*F72</f>
        <v>0</v>
      </c>
      <c r="N72" s="35">
        <f>$N$69*M72</f>
        <v>0</v>
      </c>
      <c r="O72" s="35">
        <f>N72+L72</f>
        <v>0</v>
      </c>
      <c r="P72" s="49"/>
      <c r="Q72" s="48"/>
      <c r="R72" s="29"/>
      <c r="S72" s="29"/>
      <c r="T72" s="29"/>
      <c r="U72" s="29"/>
      <c r="V72" s="29"/>
      <c r="W72" s="29"/>
    </row>
    <row r="73" spans="1:23" x14ac:dyDescent="0.3">
      <c r="B73" s="27"/>
      <c r="C73" s="31" t="s">
        <v>35</v>
      </c>
      <c r="D73" s="29">
        <v>40</v>
      </c>
      <c r="E73" s="29">
        <v>25</v>
      </c>
      <c r="F73" s="32">
        <f>E73*D73</f>
        <v>1000</v>
      </c>
      <c r="G73" s="18">
        <v>120</v>
      </c>
      <c r="H73" s="33">
        <f>G73*F73</f>
        <v>120000</v>
      </c>
      <c r="I73" s="34">
        <f>I69</f>
        <v>6000</v>
      </c>
      <c r="J73" s="29"/>
      <c r="K73" s="29"/>
      <c r="L73" s="33">
        <f>SUM(H73:K73)</f>
        <v>126000</v>
      </c>
      <c r="M73" s="35">
        <f>$M$69*F73</f>
        <v>70</v>
      </c>
      <c r="N73" s="35">
        <f>$N$69*M73</f>
        <v>17500</v>
      </c>
      <c r="O73" s="35">
        <f>N73+L73</f>
        <v>143500</v>
      </c>
      <c r="P73" s="50">
        <f>O73/F73</f>
        <v>143.5</v>
      </c>
      <c r="Q73" s="48">
        <v>135.34</v>
      </c>
      <c r="R73" s="29">
        <v>121.55</v>
      </c>
      <c r="S73" s="29">
        <v>114.04</v>
      </c>
      <c r="T73" s="29">
        <v>118.55</v>
      </c>
      <c r="U73" s="36">
        <f>AVERAGE(Q73:T73)</f>
        <v>122.37</v>
      </c>
      <c r="V73" s="51">
        <f>P73-U73</f>
        <v>21.129999999999995</v>
      </c>
      <c r="W73" s="52">
        <f>V73/U73</f>
        <v>0.17267304077796841</v>
      </c>
    </row>
    <row r="74" spans="1:23" x14ac:dyDescent="0.3">
      <c r="B74" s="27"/>
      <c r="C74" s="31" t="s">
        <v>36</v>
      </c>
      <c r="D74" s="29"/>
      <c r="E74" s="29"/>
      <c r="F74" s="29"/>
      <c r="G74" s="18">
        <v>130</v>
      </c>
      <c r="H74" s="29"/>
      <c r="I74" s="29"/>
      <c r="J74" s="29"/>
      <c r="K74" s="29"/>
      <c r="L74" s="29"/>
      <c r="M74" s="29"/>
      <c r="N74" s="29"/>
      <c r="O74" s="29"/>
      <c r="P74" s="46"/>
      <c r="Q74" s="48"/>
      <c r="R74" s="29"/>
      <c r="S74" s="29"/>
      <c r="T74" s="29"/>
      <c r="U74" s="29"/>
      <c r="V74" s="29"/>
      <c r="W74" s="29"/>
    </row>
    <row r="75" spans="1:23" x14ac:dyDescent="0.3">
      <c r="C75" s="37" t="s">
        <v>54</v>
      </c>
      <c r="D75" t="s">
        <v>55</v>
      </c>
    </row>
    <row r="76" spans="1:23" x14ac:dyDescent="0.3">
      <c r="D76" s="39" t="str">
        <f>B71</f>
        <v>1. Didu</v>
      </c>
      <c r="E76" s="40"/>
      <c r="F76" s="40"/>
      <c r="G76" s="40"/>
      <c r="H76" s="40"/>
      <c r="I76" s="40"/>
      <c r="J76" s="40"/>
      <c r="K76" s="41"/>
      <c r="L76" s="33">
        <f>L73*25</f>
        <v>3150000</v>
      </c>
      <c r="M76" s="29"/>
      <c r="N76" s="29"/>
      <c r="O76" s="33">
        <f>O73*25</f>
        <v>3587500</v>
      </c>
      <c r="P76" s="29"/>
    </row>
    <row r="77" spans="1:23" x14ac:dyDescent="0.3">
      <c r="D77" s="39"/>
      <c r="E77" s="40"/>
      <c r="F77" s="40"/>
      <c r="G77" s="40"/>
      <c r="H77" s="40"/>
      <c r="I77" s="40"/>
      <c r="J77" s="40"/>
      <c r="K77" s="41"/>
      <c r="L77" s="33"/>
      <c r="M77" s="29"/>
      <c r="N77" s="29"/>
      <c r="O77" s="33"/>
      <c r="P77" s="29"/>
    </row>
    <row r="78" spans="1:23" x14ac:dyDescent="0.3">
      <c r="J78" s="44"/>
    </row>
    <row r="79" spans="1:23" x14ac:dyDescent="0.3">
      <c r="A79" t="s">
        <v>62</v>
      </c>
      <c r="J79" s="44"/>
    </row>
    <row r="80" spans="1:23" x14ac:dyDescent="0.3">
      <c r="J80" s="44"/>
    </row>
    <row r="81" spans="1:1" x14ac:dyDescent="0.3">
      <c r="A81" t="s">
        <v>63</v>
      </c>
    </row>
  </sheetData>
  <mergeCells count="105">
    <mergeCell ref="S68:S69"/>
    <mergeCell ref="T68:T69"/>
    <mergeCell ref="Q44:Q45"/>
    <mergeCell ref="R44:R45"/>
    <mergeCell ref="S44:S45"/>
    <mergeCell ref="T44:T45"/>
    <mergeCell ref="Q55:T55"/>
    <mergeCell ref="Q56:Q57"/>
    <mergeCell ref="R56:R57"/>
    <mergeCell ref="S56:S57"/>
    <mergeCell ref="T56:T57"/>
    <mergeCell ref="U43:U45"/>
    <mergeCell ref="U55:U57"/>
    <mergeCell ref="U67:U69"/>
    <mergeCell ref="V29:V31"/>
    <mergeCell ref="W29:W31"/>
    <mergeCell ref="V43:V45"/>
    <mergeCell ref="W43:W45"/>
    <mergeCell ref="V55:V57"/>
    <mergeCell ref="W55:W57"/>
    <mergeCell ref="V67:V69"/>
    <mergeCell ref="W67:W69"/>
    <mergeCell ref="U29:U31"/>
    <mergeCell ref="Q29:T29"/>
    <mergeCell ref="Q30:Q31"/>
    <mergeCell ref="R30:R31"/>
    <mergeCell ref="S30:S31"/>
    <mergeCell ref="T30:T31"/>
    <mergeCell ref="L67:L69"/>
    <mergeCell ref="M67:N68"/>
    <mergeCell ref="O67:O69"/>
    <mergeCell ref="P67:P69"/>
    <mergeCell ref="L55:L57"/>
    <mergeCell ref="M55:N56"/>
    <mergeCell ref="O55:O57"/>
    <mergeCell ref="P55:P57"/>
    <mergeCell ref="L43:L45"/>
    <mergeCell ref="M43:N44"/>
    <mergeCell ref="O43:O45"/>
    <mergeCell ref="P43:P45"/>
    <mergeCell ref="M29:N30"/>
    <mergeCell ref="O29:O31"/>
    <mergeCell ref="P29:P31"/>
    <mergeCell ref="Q43:T43"/>
    <mergeCell ref="Q67:T67"/>
    <mergeCell ref="Q68:Q69"/>
    <mergeCell ref="R68:R69"/>
    <mergeCell ref="D68:D69"/>
    <mergeCell ref="E68:E69"/>
    <mergeCell ref="F68:F69"/>
    <mergeCell ref="B67:B69"/>
    <mergeCell ref="C67:C69"/>
    <mergeCell ref="D67:F67"/>
    <mergeCell ref="G67:G69"/>
    <mergeCell ref="H67:H69"/>
    <mergeCell ref="I67:K67"/>
    <mergeCell ref="D56:D57"/>
    <mergeCell ref="E56:E57"/>
    <mergeCell ref="F56:F57"/>
    <mergeCell ref="B55:B57"/>
    <mergeCell ref="C55:C57"/>
    <mergeCell ref="D55:F55"/>
    <mergeCell ref="G55:G57"/>
    <mergeCell ref="H55:H57"/>
    <mergeCell ref="I55:K55"/>
    <mergeCell ref="D44:D45"/>
    <mergeCell ref="E44:E45"/>
    <mergeCell ref="F44:F45"/>
    <mergeCell ref="B43:B45"/>
    <mergeCell ref="C43:C45"/>
    <mergeCell ref="D43:F43"/>
    <mergeCell ref="G43:G45"/>
    <mergeCell ref="H43:H45"/>
    <mergeCell ref="I43:K43"/>
    <mergeCell ref="D30:D31"/>
    <mergeCell ref="E30:E31"/>
    <mergeCell ref="F30:F31"/>
    <mergeCell ref="J20:J24"/>
    <mergeCell ref="K20:L24"/>
    <mergeCell ref="M20:N24"/>
    <mergeCell ref="B29:B31"/>
    <mergeCell ref="C29:C31"/>
    <mergeCell ref="D29:F29"/>
    <mergeCell ref="G29:G31"/>
    <mergeCell ref="H29:H31"/>
    <mergeCell ref="I29:K29"/>
    <mergeCell ref="L29:L31"/>
    <mergeCell ref="D20:D24"/>
    <mergeCell ref="E20:E24"/>
    <mergeCell ref="F20:F24"/>
    <mergeCell ref="G20:G24"/>
    <mergeCell ref="H20:H24"/>
    <mergeCell ref="I20:I24"/>
    <mergeCell ref="K17:L19"/>
    <mergeCell ref="M17:N19"/>
    <mergeCell ref="D18:F18"/>
    <mergeCell ref="H18:H19"/>
    <mergeCell ref="I18:I19"/>
    <mergeCell ref="J18:J19"/>
    <mergeCell ref="H10:I10"/>
    <mergeCell ref="B17:B19"/>
    <mergeCell ref="C17:C19"/>
    <mergeCell ref="D17:F17"/>
    <mergeCell ref="G17:G18"/>
    <mergeCell ref="H17:J17"/>
  </mergeCells>
  <printOptions horizontalCentered="1"/>
  <pageMargins left="0" right="0" top="0.25" bottom="0.25" header="0.3" footer="0.3"/>
  <pageSetup paperSize="9" scale="45" orientation="landscape" r:id="rId1"/>
  <headerFooter>
    <oddFooter>&amp;C Hal :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Simulasi Panen</vt:lpstr>
      <vt:lpstr>Simulasi Panen 1</vt:lpstr>
      <vt:lpstr>'Simulasi Panen'!Print_Area</vt:lpstr>
      <vt:lpstr>'Simulasi Panen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Ujang Haryanto</cp:lastModifiedBy>
  <cp:lastPrinted>2019-05-26T13:54:47Z</cp:lastPrinted>
  <dcterms:created xsi:type="dcterms:W3CDTF">2019-05-19T09:17:31Z</dcterms:created>
  <dcterms:modified xsi:type="dcterms:W3CDTF">2020-06-15T08:06:31Z</dcterms:modified>
</cp:coreProperties>
</file>