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62812\Dropbox\2025_Dwi_Mitra_Adhiusaha\2025_DMA_Tagihan_Afrek\"/>
    </mc:Choice>
  </mc:AlternateContent>
  <xr:revisionPtr revIDLastSave="0" documentId="13_ncr:1_{6EDAD0AD-C49A-4856-99E2-06E3659A6434}" xr6:coauthVersionLast="47" xr6:coauthVersionMax="47" xr10:uidLastSave="{00000000-0000-0000-0000-000000000000}"/>
  <bookViews>
    <workbookView xWindow="-108" yWindow="-108" windowWidth="23256" windowHeight="12456" tabRatio="914" xr2:uid="{00000000-000D-0000-FFFF-FFFF00000000}"/>
  </bookViews>
  <sheets>
    <sheet name="Daftar" sheetId="53" r:id="rId1"/>
    <sheet name="Plasma I 01" sheetId="51" r:id="rId2"/>
    <sheet name="Surat_1" sheetId="54" r:id="rId3"/>
    <sheet name="Plasma II 01" sheetId="52" r:id="rId4"/>
    <sheet name="Surat_2" sheetId="55" r:id="rId5"/>
    <sheet name="Surat" sheetId="48" r:id="rId6"/>
  </sheets>
  <externalReferences>
    <externalReference r:id="rId7"/>
  </externalReferences>
  <definedNames>
    <definedName name="_________________________________mf5" localSheetId="1">#REF!</definedName>
    <definedName name="_________________________________mf5" localSheetId="3">#REF!</definedName>
    <definedName name="_________________________________mf5">#REF!</definedName>
    <definedName name="_________________________________mf6" localSheetId="1">#REF!</definedName>
    <definedName name="_________________________________mf6" localSheetId="3">#REF!</definedName>
    <definedName name="_________________________________mf6">#REF!</definedName>
    <definedName name="_________________________________pc200">#REF!</definedName>
    <definedName name="_______________________________mf5" localSheetId="1">#REF!</definedName>
    <definedName name="_______________________________mf5" localSheetId="3">#REF!</definedName>
    <definedName name="_______________________________mf5">#REF!</definedName>
    <definedName name="_______________________________mf6" localSheetId="1">#REF!</definedName>
    <definedName name="_______________________________mf6" localSheetId="3">#REF!</definedName>
    <definedName name="_______________________________mf6">#REF!</definedName>
    <definedName name="_______________________________pc200">#REF!</definedName>
    <definedName name="______________________________mf5" localSheetId="1">#REF!</definedName>
    <definedName name="______________________________mf5" localSheetId="3">#REF!</definedName>
    <definedName name="______________________________mf5">#REF!</definedName>
    <definedName name="______________________________mf6" localSheetId="1">#REF!</definedName>
    <definedName name="______________________________mf6" localSheetId="3">#REF!</definedName>
    <definedName name="______________________________mf6">#REF!</definedName>
    <definedName name="______________________________pc200">#REF!</definedName>
    <definedName name="_____________________________mf5" localSheetId="1">#REF!</definedName>
    <definedName name="_____________________________mf5" localSheetId="3">#REF!</definedName>
    <definedName name="_____________________________mf5">#REF!</definedName>
    <definedName name="_____________________________mf6" localSheetId="1">#REF!</definedName>
    <definedName name="_____________________________mf6" localSheetId="3">#REF!</definedName>
    <definedName name="_____________________________mf6">#REF!</definedName>
    <definedName name="_____________________________pc200">#REF!</definedName>
    <definedName name="____________________________mf5" localSheetId="1">#REF!</definedName>
    <definedName name="____________________________mf5" localSheetId="3">#REF!</definedName>
    <definedName name="____________________________mf5">#REF!</definedName>
    <definedName name="____________________________mf6" localSheetId="1">#REF!</definedName>
    <definedName name="____________________________mf6" localSheetId="3">#REF!</definedName>
    <definedName name="____________________________mf6">#REF!</definedName>
    <definedName name="____________________________pc200">#REF!</definedName>
    <definedName name="___________________________mf5" localSheetId="1">#REF!</definedName>
    <definedName name="___________________________mf5" localSheetId="3">#REF!</definedName>
    <definedName name="___________________________mf5">#REF!</definedName>
    <definedName name="___________________________mf6" localSheetId="1">#REF!</definedName>
    <definedName name="___________________________mf6" localSheetId="3">#REF!</definedName>
    <definedName name="___________________________mf6">#REF!</definedName>
    <definedName name="___________________________pc200">#REF!</definedName>
    <definedName name="__________________________mf5" localSheetId="1">#REF!</definedName>
    <definedName name="__________________________mf5" localSheetId="3">#REF!</definedName>
    <definedName name="__________________________mf5">#REF!</definedName>
    <definedName name="__________________________mf6" localSheetId="1">#REF!</definedName>
    <definedName name="__________________________mf6" localSheetId="3">#REF!</definedName>
    <definedName name="__________________________mf6">#REF!</definedName>
    <definedName name="__________________________pc200">#REF!</definedName>
    <definedName name="_________________________mf5" localSheetId="1">#REF!</definedName>
    <definedName name="_________________________mf5" localSheetId="3">#REF!</definedName>
    <definedName name="_________________________mf5">#REF!</definedName>
    <definedName name="_________________________mf6" localSheetId="1">#REF!</definedName>
    <definedName name="_________________________mf6" localSheetId="3">#REF!</definedName>
    <definedName name="_________________________mf6">#REF!</definedName>
    <definedName name="_________________________pc200">#REF!</definedName>
    <definedName name="________________________mf5" localSheetId="1">#REF!</definedName>
    <definedName name="________________________mf5" localSheetId="3">#REF!</definedName>
    <definedName name="________________________mf5">#REF!</definedName>
    <definedName name="________________________mf6" localSheetId="1">#REF!</definedName>
    <definedName name="________________________mf6" localSheetId="3">#REF!</definedName>
    <definedName name="________________________mf6">#REF!</definedName>
    <definedName name="________________________pc200">#REF!</definedName>
    <definedName name="_______________________mf5" localSheetId="1">#REF!</definedName>
    <definedName name="_______________________mf5" localSheetId="3">#REF!</definedName>
    <definedName name="_______________________mf5">#REF!</definedName>
    <definedName name="_______________________mf6" localSheetId="1">#REF!</definedName>
    <definedName name="_______________________mf6" localSheetId="3">#REF!</definedName>
    <definedName name="_______________________mf6">#REF!</definedName>
    <definedName name="_______________________pc200">#REF!</definedName>
    <definedName name="______________________mf5" localSheetId="1">#REF!</definedName>
    <definedName name="______________________mf5" localSheetId="3">#REF!</definedName>
    <definedName name="______________________mf5">#REF!</definedName>
    <definedName name="______________________mf6" localSheetId="1">#REF!</definedName>
    <definedName name="______________________mf6" localSheetId="3">#REF!</definedName>
    <definedName name="______________________mf6">#REF!</definedName>
    <definedName name="______________________pc200">#REF!</definedName>
    <definedName name="_____________________mf5" localSheetId="1">#REF!</definedName>
    <definedName name="_____________________mf5" localSheetId="3">#REF!</definedName>
    <definedName name="_____________________mf5">#REF!</definedName>
    <definedName name="_____________________mf6" localSheetId="1">#REF!</definedName>
    <definedName name="_____________________mf6" localSheetId="3">#REF!</definedName>
    <definedName name="_____________________mf6">#REF!</definedName>
    <definedName name="_____________________pc200">#REF!</definedName>
    <definedName name="____________________mf5" localSheetId="1">#REF!</definedName>
    <definedName name="____________________mf5" localSheetId="3">#REF!</definedName>
    <definedName name="____________________mf5">#REF!</definedName>
    <definedName name="____________________mf6" localSheetId="1">#REF!</definedName>
    <definedName name="____________________mf6" localSheetId="3">#REF!</definedName>
    <definedName name="____________________mf6">#REF!</definedName>
    <definedName name="____________________pc200">#REF!</definedName>
    <definedName name="___________________mf5" localSheetId="1">#REF!</definedName>
    <definedName name="___________________mf5" localSheetId="3">#REF!</definedName>
    <definedName name="___________________mf5">#REF!</definedName>
    <definedName name="___________________mf6" localSheetId="1">#REF!</definedName>
    <definedName name="___________________mf6" localSheetId="3">#REF!</definedName>
    <definedName name="___________________mf6">#REF!</definedName>
    <definedName name="___________________pc200">#REF!</definedName>
    <definedName name="__________________mf5" localSheetId="1">#REF!</definedName>
    <definedName name="__________________mf5" localSheetId="3">#REF!</definedName>
    <definedName name="__________________mf5">#REF!</definedName>
    <definedName name="__________________mf6" localSheetId="1">#REF!</definedName>
    <definedName name="__________________mf6" localSheetId="3">#REF!</definedName>
    <definedName name="__________________mf6">#REF!</definedName>
    <definedName name="__________________pc200">#REF!</definedName>
    <definedName name="_________________mf5" localSheetId="1">#REF!</definedName>
    <definedName name="_________________mf5" localSheetId="3">#REF!</definedName>
    <definedName name="_________________mf5">#REF!</definedName>
    <definedName name="_________________mf6" localSheetId="1">#REF!</definedName>
    <definedName name="_________________mf6" localSheetId="3">#REF!</definedName>
    <definedName name="_________________mf6">#REF!</definedName>
    <definedName name="_________________pc200">#REF!</definedName>
    <definedName name="________________mf5" localSheetId="1">#REF!</definedName>
    <definedName name="________________mf5" localSheetId="3">#REF!</definedName>
    <definedName name="________________mf5">#REF!</definedName>
    <definedName name="________________mf6" localSheetId="1">#REF!</definedName>
    <definedName name="________________mf6" localSheetId="3">#REF!</definedName>
    <definedName name="________________mf6">#REF!</definedName>
    <definedName name="________________pc200">#REF!</definedName>
    <definedName name="_______________mf5" localSheetId="1">#REF!</definedName>
    <definedName name="_______________mf5" localSheetId="3">#REF!</definedName>
    <definedName name="_______________mf5">#REF!</definedName>
    <definedName name="_______________mf6" localSheetId="1">#REF!</definedName>
    <definedName name="_______________mf6" localSheetId="3">#REF!</definedName>
    <definedName name="_______________mf6">#REF!</definedName>
    <definedName name="_______________pc200">#REF!</definedName>
    <definedName name="______________mf5" localSheetId="1">#REF!</definedName>
    <definedName name="______________mf5" localSheetId="3">#REF!</definedName>
    <definedName name="______________mf5">#REF!</definedName>
    <definedName name="______________mf6" localSheetId="1">#REF!</definedName>
    <definedName name="______________mf6" localSheetId="3">#REF!</definedName>
    <definedName name="______________mf6">#REF!</definedName>
    <definedName name="______________pc200">#REF!</definedName>
    <definedName name="_____________mf5" localSheetId="1">#REF!</definedName>
    <definedName name="_____________mf5" localSheetId="3">#REF!</definedName>
    <definedName name="_____________mf5">#REF!</definedName>
    <definedName name="_____________mf6" localSheetId="1">#REF!</definedName>
    <definedName name="_____________mf6" localSheetId="3">#REF!</definedName>
    <definedName name="_____________mf6">#REF!</definedName>
    <definedName name="_____________pc200">#REF!</definedName>
    <definedName name="____________mf5" localSheetId="1">#REF!</definedName>
    <definedName name="____________mf5" localSheetId="3">#REF!</definedName>
    <definedName name="____________mf5">#REF!</definedName>
    <definedName name="____________mf6" localSheetId="1">#REF!</definedName>
    <definedName name="____________mf6" localSheetId="3">#REF!</definedName>
    <definedName name="____________mf6">#REF!</definedName>
    <definedName name="____________pc200">#REF!</definedName>
    <definedName name="___________mf5" localSheetId="1">#REF!</definedName>
    <definedName name="___________mf5" localSheetId="3">#REF!</definedName>
    <definedName name="___________mf5">#REF!</definedName>
    <definedName name="___________mf6" localSheetId="1">#REF!</definedName>
    <definedName name="___________mf6" localSheetId="3">#REF!</definedName>
    <definedName name="___________mf6">#REF!</definedName>
    <definedName name="___________pc200">#REF!</definedName>
    <definedName name="__________mf5" localSheetId="1">#REF!</definedName>
    <definedName name="__________mf5" localSheetId="3">#REF!</definedName>
    <definedName name="__________mf5">#REF!</definedName>
    <definedName name="__________mf6" localSheetId="1">#REF!</definedName>
    <definedName name="__________mf6" localSheetId="3">#REF!</definedName>
    <definedName name="__________mf6">#REF!</definedName>
    <definedName name="__________pc200">#REF!</definedName>
    <definedName name="_________mf5" localSheetId="1">#REF!</definedName>
    <definedName name="_________mf5" localSheetId="3">#REF!</definedName>
    <definedName name="_________mf5">#REF!</definedName>
    <definedName name="_________mf6" localSheetId="1">#REF!</definedName>
    <definedName name="_________mf6" localSheetId="3">#REF!</definedName>
    <definedName name="_________mf6">#REF!</definedName>
    <definedName name="_________pc200">#REF!</definedName>
    <definedName name="________mf5" localSheetId="1">#REF!</definedName>
    <definedName name="________mf5" localSheetId="3">#REF!</definedName>
    <definedName name="________mf5">#REF!</definedName>
    <definedName name="________mf6" localSheetId="1">#REF!</definedName>
    <definedName name="________mf6" localSheetId="3">#REF!</definedName>
    <definedName name="________mf6">#REF!</definedName>
    <definedName name="________pc200">#REF!</definedName>
    <definedName name="_______mf5" localSheetId="1">#REF!</definedName>
    <definedName name="_______mf5" localSheetId="3">#REF!</definedName>
    <definedName name="_______mf5">#REF!</definedName>
    <definedName name="_______mf6" localSheetId="1">#REF!</definedName>
    <definedName name="_______mf6" localSheetId="3">#REF!</definedName>
    <definedName name="_______mf6">#REF!</definedName>
    <definedName name="_______pc200">#REF!</definedName>
    <definedName name="______mf5" localSheetId="1">#REF!</definedName>
    <definedName name="______mf5" localSheetId="3">#REF!</definedName>
    <definedName name="______mf5">#REF!</definedName>
    <definedName name="______mf6" localSheetId="1">#REF!</definedName>
    <definedName name="______mf6" localSheetId="3">#REF!</definedName>
    <definedName name="______mf6">#REF!</definedName>
    <definedName name="______pc200">#REF!</definedName>
    <definedName name="_____mf5" localSheetId="1">#REF!</definedName>
    <definedName name="_____mf5" localSheetId="3">#REF!</definedName>
    <definedName name="_____mf5">#REF!</definedName>
    <definedName name="_____mf6" localSheetId="1">#REF!</definedName>
    <definedName name="_____mf6" localSheetId="3">#REF!</definedName>
    <definedName name="_____mf6">#REF!</definedName>
    <definedName name="_____pc200">#REF!</definedName>
    <definedName name="____mf5" localSheetId="1">#REF!</definedName>
    <definedName name="____mf5" localSheetId="3">#REF!</definedName>
    <definedName name="____mf5">#REF!</definedName>
    <definedName name="____mf6" localSheetId="1">#REF!</definedName>
    <definedName name="____mf6" localSheetId="3">#REF!</definedName>
    <definedName name="____mf6">#REF!</definedName>
    <definedName name="____pc200">#REF!</definedName>
    <definedName name="___mf5" localSheetId="1">#REF!</definedName>
    <definedName name="___mf5" localSheetId="3">#REF!</definedName>
    <definedName name="___mf5">#REF!</definedName>
    <definedName name="___mf6" localSheetId="1">#REF!</definedName>
    <definedName name="___mf6" localSheetId="3">#REF!</definedName>
    <definedName name="___mf6">#REF!</definedName>
    <definedName name="___pc200">#REF!</definedName>
    <definedName name="__1Excel_BuiltIn_Print_Area_2_1" localSheetId="1">#REF!</definedName>
    <definedName name="__1Excel_BuiltIn_Print_Area_2_1" localSheetId="3">#REF!</definedName>
    <definedName name="__1Excel_BuiltIn_Print_Area_2_1">#REF!</definedName>
    <definedName name="__mf5" localSheetId="1">#REF!</definedName>
    <definedName name="__mf5" localSheetId="3">#REF!</definedName>
    <definedName name="__mf5">#REF!</definedName>
    <definedName name="__mf6" localSheetId="1">#REF!</definedName>
    <definedName name="__mf6" localSheetId="3">#REF!</definedName>
    <definedName name="__mf6">#REF!</definedName>
    <definedName name="__pc200">#REF!</definedName>
    <definedName name="_1___________________________________________________________________________________________________________________________________________________________________________________________________________________________________Excel_BuiltIn_Print_Area" localSheetId="1">#REF!</definedName>
    <definedName name="_1___________________________________________________________________________________________________________________________________________________________________________________________________________________________________Excel_BuiltIn_Print_Area" localSheetId="3">#REF!</definedName>
    <definedName name="_1___________________________________________________________________________________________________________________________________________________________________________________________________________________________________Excel_BuiltIn_Print_Area">#REF!</definedName>
    <definedName name="_10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0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0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0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0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0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00_____________________________________________________________________________________________________________________Excel_BuiltIn_Print_Area_2_1" localSheetId="1">#REF!</definedName>
    <definedName name="_100_____________________________________________________________________________________________________________________Excel_BuiltIn_Print_Area_2_1" localSheetId="3">#REF!</definedName>
    <definedName name="_100_____________________________________________________________________________________________________________________Excel_BuiltIn_Print_Area_2_1">#REF!</definedName>
    <definedName name="_102_____________________________________________________________________________________________________________________________________________________________________________Excel_BuiltIn_Print_Area_2_1" localSheetId="1">#REF!</definedName>
    <definedName name="_102_____________________________________________________________________________________________________________________________________________________________________________Excel_BuiltIn_Print_Area_2_1" localSheetId="3">#REF!</definedName>
    <definedName name="_102_____________________________________________________________________________________________________________________________________________________________________________Excel_BuiltIn_Print_Area_2_1">#REF!</definedName>
    <definedName name="_102____________________________________________________________________________________________________________________Excel_BuiltIn_Print_Area_2_1" localSheetId="1">#REF!</definedName>
    <definedName name="_102____________________________________________________________________________________________________________________Excel_BuiltIn_Print_Area_2_1" localSheetId="3">#REF!</definedName>
    <definedName name="_102____________________________________________________________________________________________________________________Excel_BuiltIn_Print_Area_2_1">#REF!</definedName>
    <definedName name="_104___________________________________________________________________________________________________________________Excel_BuiltIn_Print_Area_2_1" localSheetId="1">#REF!</definedName>
    <definedName name="_104___________________________________________________________________________________________________________________Excel_BuiltIn_Print_Area_2_1" localSheetId="3">#REF!</definedName>
    <definedName name="_104___________________________________________________________________________________________________________________Excel_BuiltIn_Print_Area_2_1">#REF!</definedName>
    <definedName name="_105___________________________________________________________________________________________________________________________________________________________________________Excel_BuiltIn_Print_Area_2_1" localSheetId="1">#REF!</definedName>
    <definedName name="_105___________________________________________________________________________________________________________________________________________________________________________Excel_BuiltIn_Print_Area_2_1" localSheetId="3">#REF!</definedName>
    <definedName name="_105___________________________________________________________________________________________________________________________________________________________________________Excel_BuiltIn_Print_Area_2_1">#REF!</definedName>
    <definedName name="_106__________________________________________________________________________________________________________________Excel_BuiltIn_Print_Area_2_1" localSheetId="1">#REF!</definedName>
    <definedName name="_106__________________________________________________________________________________________________________________Excel_BuiltIn_Print_Area_2_1" localSheetId="3">#REF!</definedName>
    <definedName name="_106__________________________________________________________________________________________________________________Excel_BuiltIn_Print_Area_2_1">#REF!</definedName>
    <definedName name="_108__________________________________________________________________________________________________________________________________________________________________________Excel_BuiltIn_Print_Area_2_1" localSheetId="1">#REF!</definedName>
    <definedName name="_108__________________________________________________________________________________________________________________________________________________________________________Excel_BuiltIn_Print_Area_2_1" localSheetId="3">#REF!</definedName>
    <definedName name="_108__________________________________________________________________________________________________________________________________________________________________________Excel_BuiltIn_Print_Area_2_1">#REF!</definedName>
    <definedName name="_108________________________________________________________________________________________________________________Excel_BuiltIn_Print_Area_2_1" localSheetId="1">#REF!</definedName>
    <definedName name="_108________________________________________________________________________________________________________________Excel_BuiltIn_Print_Area_2_1" localSheetId="3">#REF!</definedName>
    <definedName name="_108________________________________________________________________________________________________________________Excel_BuiltIn_Print_Area_2_1">#REF!</definedName>
    <definedName name="_11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1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1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10_______________________________________________________________________________________________________________Excel_BuiltIn_Print_Area_2_1" localSheetId="1">#REF!</definedName>
    <definedName name="_110_______________________________________________________________________________________________________________Excel_BuiltIn_Print_Area_2_1" localSheetId="3">#REF!</definedName>
    <definedName name="_110_______________________________________________________________________________________________________________Excel_BuiltIn_Print_Area_2_1">#REF!</definedName>
    <definedName name="_111_________________________________________________________________________________________________________________________________________________________________________Excel_BuiltIn_Print_Area_2_1" localSheetId="1">#REF!</definedName>
    <definedName name="_111_________________________________________________________________________________________________________________________________________________________________________Excel_BuiltIn_Print_Area_2_1" localSheetId="3">#REF!</definedName>
    <definedName name="_111_________________________________________________________________________________________________________________________________________________________________________Excel_BuiltIn_Print_Area_2_1">#REF!</definedName>
    <definedName name="_112______________________________________________________________________________________________________________Excel_BuiltIn_Print_Area_2_1" localSheetId="1">#REF!</definedName>
    <definedName name="_112______________________________________________________________________________________________________________Excel_BuiltIn_Print_Area_2_1" localSheetId="3">#REF!</definedName>
    <definedName name="_112______________________________________________________________________________________________________________Excel_BuiltIn_Print_Area_2_1">#REF!</definedName>
    <definedName name="_114________________________________________________________________________________________________________________________________________________________________________Excel_BuiltIn_Print_Area_2_1" localSheetId="1">#REF!</definedName>
    <definedName name="_114________________________________________________________________________________________________________________________________________________________________________Excel_BuiltIn_Print_Area_2_1" localSheetId="3">#REF!</definedName>
    <definedName name="_114________________________________________________________________________________________________________________________________________________________________________Excel_BuiltIn_Print_Area_2_1">#REF!</definedName>
    <definedName name="_114____________________________________________________________________________________________________________Excel_BuiltIn_Print_Area_2_1" localSheetId="1">#REF!</definedName>
    <definedName name="_114____________________________________________________________________________________________________________Excel_BuiltIn_Print_Area_2_1" localSheetId="3">#REF!</definedName>
    <definedName name="_114____________________________________________________________________________________________________________Excel_BuiltIn_Print_Area_2_1">#REF!</definedName>
    <definedName name="_116___________________________________________________________________________________________________________Excel_BuiltIn_Print_Area_2_1" localSheetId="1">#REF!</definedName>
    <definedName name="_116___________________________________________________________________________________________________________Excel_BuiltIn_Print_Area_2_1" localSheetId="3">#REF!</definedName>
    <definedName name="_116___________________________________________________________________________________________________________Excel_BuiltIn_Print_Area_2_1">#REF!</definedName>
    <definedName name="_117_______________________________________________________________________________________________________________________________________________________________________Excel_BuiltIn_Print_Area_2_1" localSheetId="1">#REF!</definedName>
    <definedName name="_117_______________________________________________________________________________________________________________________________________________________________________Excel_BuiltIn_Print_Area_2_1" localSheetId="3">#REF!</definedName>
    <definedName name="_117_______________________________________________________________________________________________________________________________________________________________________Excel_BuiltIn_Print_Area_2_1">#REF!</definedName>
    <definedName name="_118_________________________________________________________________________________________________________Excel_BuiltIn_Print_Area_2_1" localSheetId="1">#REF!</definedName>
    <definedName name="_118_________________________________________________________________________________________________________Excel_BuiltIn_Print_Area_2_1" localSheetId="3">#REF!</definedName>
    <definedName name="_118_________________________________________________________________________________________________________Excel_BuiltIn_Print_Area_2_1">#REF!</definedName>
    <definedName name="_12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2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2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2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2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2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2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2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2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20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20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20_________________________________________________________________________________________________________________________________________________________________________________________________Excel_BuiltIn_Print_Area_2_1">#REF!</definedName>
    <definedName name="_120_____________________________________________________________________________________________________________________________________________________________________Excel_BuiltIn_Print_Area_2_1" localSheetId="1">#REF!</definedName>
    <definedName name="_120_____________________________________________________________________________________________________________________________________________________________________Excel_BuiltIn_Print_Area_2_1" localSheetId="3">#REF!</definedName>
    <definedName name="_120_____________________________________________________________________________________________________________________________________________________________________Excel_BuiltIn_Print_Area_2_1">#REF!</definedName>
    <definedName name="_120________________________________________________________________________________________________________Excel_BuiltIn_Print_Area_2_1" localSheetId="1">#REF!</definedName>
    <definedName name="_120________________________________________________________________________________________________________Excel_BuiltIn_Print_Area_2_1" localSheetId="3">#REF!</definedName>
    <definedName name="_120________________________________________________________________________________________________________Excel_BuiltIn_Print_Area_2_1">#REF!</definedName>
    <definedName name="_122______________________________________________________________________________________________________Excel_BuiltIn_Print_Area_2_1" localSheetId="1">#REF!</definedName>
    <definedName name="_122______________________________________________________________________________________________________Excel_BuiltIn_Print_Area_2_1" localSheetId="3">#REF!</definedName>
    <definedName name="_122______________________________________________________________________________________________________Excel_BuiltIn_Print_Area_2_1">#REF!</definedName>
    <definedName name="_123___________________________________________________________________________________________________________________________________Excel_BuiltIn_Print_Area_2_1" localSheetId="1">#REF!</definedName>
    <definedName name="_123___________________________________________________________________________________________________________________________________Excel_BuiltIn_Print_Area_2_1" localSheetId="3">#REF!</definedName>
    <definedName name="_123___________________________________________________________________________________________________________________________________Excel_BuiltIn_Print_Area_2_1">#REF!</definedName>
    <definedName name="_124_____________________________________________________________________________________________________Excel_BuiltIn_Print_Area_2_1" localSheetId="1">#REF!</definedName>
    <definedName name="_124_____________________________________________________________________________________________________Excel_BuiltIn_Print_Area_2_1" localSheetId="3">#REF!</definedName>
    <definedName name="_124_____________________________________________________________________________________________________Excel_BuiltIn_Print_Area_2_1">#REF!</definedName>
    <definedName name="_126__________________________________________________________________________________________________________________________________Excel_BuiltIn_Print_Area_2_1" localSheetId="1">#REF!</definedName>
    <definedName name="_126__________________________________________________________________________________________________________________________________Excel_BuiltIn_Print_Area_2_1" localSheetId="3">#REF!</definedName>
    <definedName name="_126__________________________________________________________________________________________________________________________________Excel_BuiltIn_Print_Area_2_1">#REF!</definedName>
    <definedName name="_126____________________________________________________________________________________________________Excel_BuiltIn_Print_Area_2_1" localSheetId="1">#REF!</definedName>
    <definedName name="_126____________________________________________________________________________________________________Excel_BuiltIn_Print_Area_2_1" localSheetId="3">#REF!</definedName>
    <definedName name="_126____________________________________________________________________________________________________Excel_BuiltIn_Print_Area_2_1">#REF!</definedName>
    <definedName name="_128___________________________________________________________________________________________________Excel_BuiltIn_Print_Area_2_1" localSheetId="1">#REF!</definedName>
    <definedName name="_128___________________________________________________________________________________________________Excel_BuiltIn_Print_Area_2_1" localSheetId="3">#REF!</definedName>
    <definedName name="_128___________________________________________________________________________________________________Excel_BuiltIn_Print_Area_2_1">#REF!</definedName>
    <definedName name="_129________________________________________________________________________________________________________________________________Excel_BuiltIn_Print_Area_2_1" localSheetId="1">#REF!</definedName>
    <definedName name="_129________________________________________________________________________________________________________________________________Excel_BuiltIn_Print_Area_2_1" localSheetId="3">#REF!</definedName>
    <definedName name="_129________________________________________________________________________________________________________________________________Excel_BuiltIn_Print_Area_2_1">#REF!</definedName>
    <definedName name="_13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3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3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30__________________________________________________________________________________________________Excel_BuiltIn_Print_Area_2_1" localSheetId="1">#REF!</definedName>
    <definedName name="_130__________________________________________________________________________________________________Excel_BuiltIn_Print_Area_2_1" localSheetId="3">#REF!</definedName>
    <definedName name="_130__________________________________________________________________________________________________Excel_BuiltIn_Print_Area_2_1">#REF!</definedName>
    <definedName name="_132______________________________________________________________________________________________________________________________Excel_BuiltIn_Print_Area_2_1" localSheetId="1">#REF!</definedName>
    <definedName name="_132______________________________________________________________________________________________________________________________Excel_BuiltIn_Print_Area_2_1" localSheetId="3">#REF!</definedName>
    <definedName name="_132______________________________________________________________________________________________________________________________Excel_BuiltIn_Print_Area_2_1">#REF!</definedName>
    <definedName name="_132_________________________________________________________________________________________________Excel_BuiltIn_Print_Area_2_1" localSheetId="1">#REF!</definedName>
    <definedName name="_132_________________________________________________________________________________________________Excel_BuiltIn_Print_Area_2_1" localSheetId="3">#REF!</definedName>
    <definedName name="_132_________________________________________________________________________________________________Excel_BuiltIn_Print_Area_2_1">#REF!</definedName>
    <definedName name="_134________________________________________________________________________________________________Excel_BuiltIn_Print_Area_2_1" localSheetId="1">#REF!</definedName>
    <definedName name="_134________________________________________________________________________________________________Excel_BuiltIn_Print_Area_2_1" localSheetId="3">#REF!</definedName>
    <definedName name="_134________________________________________________________________________________________________Excel_BuiltIn_Print_Area_2_1">#REF!</definedName>
    <definedName name="_135_____________________________________________________________________________________________________________________________Excel_BuiltIn_Print_Area_2_1" localSheetId="1">#REF!</definedName>
    <definedName name="_135_____________________________________________________________________________________________________________________________Excel_BuiltIn_Print_Area_2_1" localSheetId="3">#REF!</definedName>
    <definedName name="_135_____________________________________________________________________________________________________________________________Excel_BuiltIn_Print_Area_2_1">#REF!</definedName>
    <definedName name="_136_______________________________________________________________________________________________Excel_BuiltIn_Print_Area_2_1" localSheetId="1">#REF!</definedName>
    <definedName name="_136_______________________________________________________________________________________________Excel_BuiltIn_Print_Area_2_1" localSheetId="3">#REF!</definedName>
    <definedName name="_136_______________________________________________________________________________________________Excel_BuiltIn_Print_Area_2_1">#REF!</definedName>
    <definedName name="_138____________________________________________________________________________________________________________________________Excel_BuiltIn_Print_Area_2_1" localSheetId="1">#REF!</definedName>
    <definedName name="_138____________________________________________________________________________________________________________________________Excel_BuiltIn_Print_Area_2_1" localSheetId="3">#REF!</definedName>
    <definedName name="_138____________________________________________________________________________________________________________________________Excel_BuiltIn_Print_Area_2_1">#REF!</definedName>
    <definedName name="_138_____________________________________________________________________________________________Excel_BuiltIn_Print_Area_2_1" localSheetId="1">#REF!</definedName>
    <definedName name="_138_____________________________________________________________________________________________Excel_BuiltIn_Print_Area_2_1" localSheetId="3">#REF!</definedName>
    <definedName name="_138_____________________________________________________________________________________________Excel_BuiltIn_Print_Area_2_1">#REF!</definedName>
    <definedName name="_14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4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4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4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4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4___________________________________________________________________________________________________________________________________________________________________________________________________________Excel_BuiltIn_Print_Area_2_1">#REF!</definedName>
    <definedName name="_140___________________________________________________________________________________________Excel_BuiltIn_Print_Area_2_1" localSheetId="1">#REF!</definedName>
    <definedName name="_140___________________________________________________________________________________________Excel_BuiltIn_Print_Area_2_1" localSheetId="3">#REF!</definedName>
    <definedName name="_140___________________________________________________________________________________________Excel_BuiltIn_Print_Area_2_1">#REF!</definedName>
    <definedName name="_141__________________________________________________________________________________________________________________________Excel_BuiltIn_Print_Area_2_1" localSheetId="1">#REF!</definedName>
    <definedName name="_141__________________________________________________________________________________________________________________________Excel_BuiltIn_Print_Area_2_1" localSheetId="3">#REF!</definedName>
    <definedName name="_141__________________________________________________________________________________________________________________________Excel_BuiltIn_Print_Area_2_1">#REF!</definedName>
    <definedName name="_142________________________________________________________Excel_BuiltIn_Print_Area_2_1" localSheetId="1">#REF!</definedName>
    <definedName name="_142________________________________________________________Excel_BuiltIn_Print_Area_2_1" localSheetId="3">#REF!</definedName>
    <definedName name="_142________________________________________________________Excel_BuiltIn_Print_Area_2_1">#REF!</definedName>
    <definedName name="_144________________________________________________________________________________________________________________________Excel_BuiltIn_Print_Area_2_1" localSheetId="1">#REF!</definedName>
    <definedName name="_144________________________________________________________________________________________________________________________Excel_BuiltIn_Print_Area_2_1" localSheetId="3">#REF!</definedName>
    <definedName name="_144________________________________________________________________________________________________________________________Excel_BuiltIn_Print_Area_2_1">#REF!</definedName>
    <definedName name="_144______________________________________________________Excel_BuiltIn_Print_Area_2_1" localSheetId="1">#REF!</definedName>
    <definedName name="_144______________________________________________________Excel_BuiltIn_Print_Area_2_1" localSheetId="3">#REF!</definedName>
    <definedName name="_144______________________________________________________Excel_BuiltIn_Print_Area_2_1">#REF!</definedName>
    <definedName name="_146_________________________________________Excel_BuiltIn_Print_Area_2_1" localSheetId="1">#REF!</definedName>
    <definedName name="_146_________________________________________Excel_BuiltIn_Print_Area_2_1" localSheetId="3">#REF!</definedName>
    <definedName name="_146_________________________________________Excel_BuiltIn_Print_Area_2_1">#REF!</definedName>
    <definedName name="_147______________________________________________________________________________________________________________________Excel_BuiltIn_Print_Area_2_1" localSheetId="1">#REF!</definedName>
    <definedName name="_147______________________________________________________________________________________________________________________Excel_BuiltIn_Print_Area_2_1" localSheetId="3">#REF!</definedName>
    <definedName name="_147______________________________________________________________________________________________________________________Excel_BuiltIn_Print_Area_2_1">#REF!</definedName>
    <definedName name="_148________________________________________Excel_BuiltIn_Print_Area_2_1" localSheetId="1">#REF!</definedName>
    <definedName name="_148________________________________________Excel_BuiltIn_Print_Area_2_1" localSheetId="3">#REF!</definedName>
    <definedName name="_148________________________________________Excel_BuiltIn_Print_Area_2_1">#REF!</definedName>
    <definedName name="_15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5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5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5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5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5_________________________________________________________________________________________________________________________________________________________________________________________________________Excel_BuiltIn_Print_Area_2_1">#REF!</definedName>
    <definedName name="_150_____________________________________________________________________________________________________________________Excel_BuiltIn_Print_Area_2_1" localSheetId="1">#REF!</definedName>
    <definedName name="_150_____________________________________________________________________________________________________________________Excel_BuiltIn_Print_Area_2_1" localSheetId="3">#REF!</definedName>
    <definedName name="_150_____________________________________________________________________________________________________________________Excel_BuiltIn_Print_Area_2_1">#REF!</definedName>
    <definedName name="_150_______________________________________Excel_BuiltIn_Print_Area_2_1" localSheetId="1">#REF!</definedName>
    <definedName name="_150_______________________________________Excel_BuiltIn_Print_Area_2_1" localSheetId="3">#REF!</definedName>
    <definedName name="_150_______________________________________Excel_BuiltIn_Print_Area_2_1">#REF!</definedName>
    <definedName name="_152______________________________________Excel_BuiltIn_Print_Area_2_1" localSheetId="1">#REF!</definedName>
    <definedName name="_152______________________________________Excel_BuiltIn_Print_Area_2_1" localSheetId="3">#REF!</definedName>
    <definedName name="_152______________________________________Excel_BuiltIn_Print_Area_2_1">#REF!</definedName>
    <definedName name="_153____________________________________________________________________________________________________________________Excel_BuiltIn_Print_Area_2_1" localSheetId="1">#REF!</definedName>
    <definedName name="_153____________________________________________________________________________________________________________________Excel_BuiltIn_Print_Area_2_1" localSheetId="3">#REF!</definedName>
    <definedName name="_153____________________________________________________________________________________________________________________Excel_BuiltIn_Print_Area_2_1">#REF!</definedName>
    <definedName name="_154_____________________________________Excel_BuiltIn_Print_Area_2_1" localSheetId="1">#REF!</definedName>
    <definedName name="_154_____________________________________Excel_BuiltIn_Print_Area_2_1" localSheetId="3">#REF!</definedName>
    <definedName name="_154_____________________________________Excel_BuiltIn_Print_Area_2_1">#REF!</definedName>
    <definedName name="_156___________________________________________________________________________________________________________________Excel_BuiltIn_Print_Area_2_1" localSheetId="1">#REF!</definedName>
    <definedName name="_156___________________________________________________________________________________________________________________Excel_BuiltIn_Print_Area_2_1" localSheetId="3">#REF!</definedName>
    <definedName name="_156___________________________________________________________________________________________________________________Excel_BuiltIn_Print_Area_2_1">#REF!</definedName>
    <definedName name="_156____________________________________Excel_BuiltIn_Print_Area_2_1" localSheetId="1">#REF!</definedName>
    <definedName name="_156____________________________________Excel_BuiltIn_Print_Area_2_1" localSheetId="3">#REF!</definedName>
    <definedName name="_156____________________________________Excel_BuiltIn_Print_Area_2_1">#REF!</definedName>
    <definedName name="_158__________________________________Excel_BuiltIn_Print_Area_2_1" localSheetId="1">#REF!</definedName>
    <definedName name="_158__________________________________Excel_BuiltIn_Print_Area_2_1" localSheetId="3">#REF!</definedName>
    <definedName name="_158__________________________________Excel_BuiltIn_Print_Area_2_1">#REF!</definedName>
    <definedName name="_159__________________________________________________________________________________________________________________Excel_BuiltIn_Print_Area_2_1" localSheetId="1">#REF!</definedName>
    <definedName name="_159__________________________________________________________________________________________________________________Excel_BuiltIn_Print_Area_2_1" localSheetId="3">#REF!</definedName>
    <definedName name="_159__________________________________________________________________________________________________________________Excel_BuiltIn_Print_Area_2_1">#REF!</definedName>
    <definedName name="_16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6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6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6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6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6_______________________________________________________________________________________________________________________________________________________________________________________________________Excel_BuiltIn_Print_Area_2_1">#REF!</definedName>
    <definedName name="_160____________________Excel_BuiltIn_Print_Area_2_1" localSheetId="1">#REF!</definedName>
    <definedName name="_160____________________Excel_BuiltIn_Print_Area_2_1" localSheetId="3">#REF!</definedName>
    <definedName name="_160____________________Excel_BuiltIn_Print_Area_2_1">#REF!</definedName>
    <definedName name="_162________________________________________________________________________________________________________________Excel_BuiltIn_Print_Area_2_1" localSheetId="1">#REF!</definedName>
    <definedName name="_162________________________________________________________________________________________________________________Excel_BuiltIn_Print_Area_2_1" localSheetId="3">#REF!</definedName>
    <definedName name="_162________________________________________________________________________________________________________________Excel_BuiltIn_Print_Area_2_1">#REF!</definedName>
    <definedName name="_162______________Excel_BuiltIn_Print_Area_2_1" localSheetId="1">#REF!</definedName>
    <definedName name="_162______________Excel_BuiltIn_Print_Area_2_1" localSheetId="3">#REF!</definedName>
    <definedName name="_162______________Excel_BuiltIn_Print_Area_2_1">#REF!</definedName>
    <definedName name="_164_____________Excel_BuiltIn_Print_Area_2_1" localSheetId="1">#REF!</definedName>
    <definedName name="_164_____________Excel_BuiltIn_Print_Area_2_1" localSheetId="3">#REF!</definedName>
    <definedName name="_164_____________Excel_BuiltIn_Print_Area_2_1">#REF!</definedName>
    <definedName name="_165_______________________________________________________________________________________________________________Excel_BuiltIn_Print_Area_2_1" localSheetId="1">#REF!</definedName>
    <definedName name="_165_______________________________________________________________________________________________________________Excel_BuiltIn_Print_Area_2_1" localSheetId="3">#REF!</definedName>
    <definedName name="_165_______________________________________________________________________________________________________________Excel_BuiltIn_Print_Area_2_1">#REF!</definedName>
    <definedName name="_166____________Excel_BuiltIn_Print_Area_2_1" localSheetId="1">#REF!</definedName>
    <definedName name="_166____________Excel_BuiltIn_Print_Area_2_1" localSheetId="3">#REF!</definedName>
    <definedName name="_166____________Excel_BuiltIn_Print_Area_2_1">#REF!</definedName>
    <definedName name="_168______________________________________________________________________________________________________________Excel_BuiltIn_Print_Area_2_1" localSheetId="1">#REF!</definedName>
    <definedName name="_168______________________________________________________________________________________________________________Excel_BuiltIn_Print_Area_2_1" localSheetId="3">#REF!</definedName>
    <definedName name="_168______________________________________________________________________________________________________________Excel_BuiltIn_Print_Area_2_1">#REF!</definedName>
    <definedName name="_168___________Excel_BuiltIn_Print_Area_2_1" localSheetId="1">#REF!</definedName>
    <definedName name="_168___________Excel_BuiltIn_Print_Area_2_1" localSheetId="3">#REF!</definedName>
    <definedName name="_168___________Excel_BuiltIn_Print_Area_2_1">#REF!</definedName>
    <definedName name="_17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7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7______________________________________________________________________________________________________________________________________________________________________________________________________Excel_BuiltIn_Print_Area_2_1">#REF!</definedName>
    <definedName name="_170_______Excel_BuiltIn_Print_Area_2_1" localSheetId="1">#REF!</definedName>
    <definedName name="_170_______Excel_BuiltIn_Print_Area_2_1" localSheetId="3">#REF!</definedName>
    <definedName name="_170_______Excel_BuiltIn_Print_Area_2_1">#REF!</definedName>
    <definedName name="_171____________________________________________________________________________________________________________Excel_BuiltIn_Print_Area_2_1" localSheetId="1">#REF!</definedName>
    <definedName name="_171____________________________________________________________________________________________________________Excel_BuiltIn_Print_Area_2_1" localSheetId="3">#REF!</definedName>
    <definedName name="_171____________________________________________________________________________________________________________Excel_BuiltIn_Print_Area_2_1">#REF!</definedName>
    <definedName name="_174___________________________________________________________________________________________________________Excel_BuiltIn_Print_Area_2_1" localSheetId="1">#REF!</definedName>
    <definedName name="_174___________________________________________________________________________________________________________Excel_BuiltIn_Print_Area_2_1" localSheetId="3">#REF!</definedName>
    <definedName name="_174___________________________________________________________________________________________________________Excel_BuiltIn_Print_Area_2_1">#REF!</definedName>
    <definedName name="_177_________________________________________________________________________________________________________Excel_BuiltIn_Print_Area_2_1" localSheetId="1">#REF!</definedName>
    <definedName name="_177_________________________________________________________________________________________________________Excel_BuiltIn_Print_Area_2_1" localSheetId="3">#REF!</definedName>
    <definedName name="_177_________________________________________________________________________________________________________Excel_BuiltIn_Print_Area_2_1">#REF!</definedName>
    <definedName name="_18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8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8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8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8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8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18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8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8_____________________________________________________________________________________________________________________________________________________________________________________________________Excel_BuiltIn_Print_Area_2_1">#REF!</definedName>
    <definedName name="_180___________________________________________________________________________________________________________________________________________________________________________________Excel_BuiltIn_Print_Area_2_1" localSheetId="1">#REF!</definedName>
    <definedName name="_180___________________________________________________________________________________________________________________________________________________________________________________Excel_BuiltIn_Print_Area_2_1" localSheetId="3">#REF!</definedName>
    <definedName name="_180___________________________________________________________________________________________________________________________________________________________________________________Excel_BuiltIn_Print_Area_2_1">#REF!</definedName>
    <definedName name="_180________________________________________________________________________________________________________Excel_BuiltIn_Print_Area_2_1" localSheetId="1">#REF!</definedName>
    <definedName name="_180________________________________________________________________________________________________________Excel_BuiltIn_Print_Area_2_1" localSheetId="3">#REF!</definedName>
    <definedName name="_180________________________________________________________________________________________________________Excel_BuiltIn_Print_Area_2_1">#REF!</definedName>
    <definedName name="_183______________________________________________________________________________________________________Excel_BuiltIn_Print_Area_2_1" localSheetId="1">#REF!</definedName>
    <definedName name="_183______________________________________________________________________________________________________Excel_BuiltIn_Print_Area_2_1" localSheetId="3">#REF!</definedName>
    <definedName name="_183______________________________________________________________________________________________________Excel_BuiltIn_Print_Area_2_1">#REF!</definedName>
    <definedName name="_186_____________________________________________________________________________________________________Excel_BuiltIn_Print_Area_2_1" localSheetId="1">#REF!</definedName>
    <definedName name="_186_____________________________________________________________________________________________________Excel_BuiltIn_Print_Area_2_1" localSheetId="3">#REF!</definedName>
    <definedName name="_186_____________________________________________________________________________________________________Excel_BuiltIn_Print_Area_2_1">#REF!</definedName>
    <definedName name="_189____________________________________________________________________________________________________Excel_BuiltIn_Print_Area_2_1" localSheetId="1">#REF!</definedName>
    <definedName name="_189____________________________________________________________________________________________________Excel_BuiltIn_Print_Area_2_1" localSheetId="3">#REF!</definedName>
    <definedName name="_189____________________________________________________________________________________________________Excel_BuiltIn_Print_Area_2_1">#REF!</definedName>
    <definedName name="_19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19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19___________________________________________________________________________________________________________________________________________________________________________________________________Excel_BuiltIn_Print_Area_2_1">#REF!</definedName>
    <definedName name="_192___________________________________________________________________________________________________Excel_BuiltIn_Print_Area_2_1" localSheetId="1">#REF!</definedName>
    <definedName name="_192___________________________________________________________________________________________________Excel_BuiltIn_Print_Area_2_1" localSheetId="3">#REF!</definedName>
    <definedName name="_192___________________________________________________________________________________________________Excel_BuiltIn_Print_Area_2_1">#REF!</definedName>
    <definedName name="_195__________________________________________________________________________________________________Excel_BuiltIn_Print_Area_2_1" localSheetId="1">#REF!</definedName>
    <definedName name="_195__________________________________________________________________________________________________Excel_BuiltIn_Print_Area_2_1" localSheetId="3">#REF!</definedName>
    <definedName name="_195__________________________________________________________________________________________________Excel_BuiltIn_Print_Area_2_1">#REF!</definedName>
    <definedName name="_198_________________________________________________________________________________________________Excel_BuiltIn_Print_Area_2_1" localSheetId="1">#REF!</definedName>
    <definedName name="_198_________________________________________________________________________________________________Excel_BuiltIn_Print_Area_2_1" localSheetId="3">#REF!</definedName>
    <definedName name="_198_________________________________________________________________________________________________Excel_BuiltIn_Print_Area_2_1">#REF!</definedName>
    <definedName name="_1Excel_BuiltIn_Print_Area_2_1" localSheetId="1">#REF!</definedName>
    <definedName name="_1Excel_BuiltIn_Print_Area_2_1" localSheetId="3">#REF!</definedName>
    <definedName name="_1Excel_BuiltIn_Print_Area_2_1">#REF!</definedName>
    <definedName name="_2___________________________________________________________________________________________________________________________________________________________________________________________________________________________________Excel_BuiltIn_Print_Area" localSheetId="1">#REF!</definedName>
    <definedName name="_2___________________________________________________________________________________________________________________________________________________________________________________________________________________________________Excel_BuiltIn_Print_Area" localSheetId="3">#REF!</definedName>
    <definedName name="_2___________________________________________________________________________________________________________________________________________________________________________________________________________________________________Excel_BuiltIn_Print_Area">#REF!</definedName>
    <definedName name="_2_________________________________________________________________________________________________________________________________________________________________________________________________________________________________Excel_BuiltIn_Print_Area_2" localSheetId="1">#REF!</definedName>
    <definedName name="_2_________________________________________________________________________________________________________________________________________________________________________________________________________________________________Excel_BuiltIn_Print_Area_2" localSheetId="3">#REF!</definedName>
    <definedName name="_2_________________________________________________________________________________________________________________________________________________________________________________________________________________________________Excel_BuiltIn_Print_Area_2">#REF!</definedName>
    <definedName name="_20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0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0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0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0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0_________________________________________________________________________________________________________________________________________________________________________________________________Excel_BuiltIn_Print_Area_2_1">#REF!</definedName>
    <definedName name="_201________________________________________________________________________________________________Excel_BuiltIn_Print_Area_2_1" localSheetId="1">#REF!</definedName>
    <definedName name="_201________________________________________________________________________________________________Excel_BuiltIn_Print_Area_2_1" localSheetId="3">#REF!</definedName>
    <definedName name="_201________________________________________________________________________________________________Excel_BuiltIn_Print_Area_2_1">#REF!</definedName>
    <definedName name="_204_______________________________________________________________________________________________Excel_BuiltIn_Print_Area_2_1" localSheetId="1">#REF!</definedName>
    <definedName name="_204_______________________________________________________________________________________________Excel_BuiltIn_Print_Area_2_1" localSheetId="3">#REF!</definedName>
    <definedName name="_204_______________________________________________________________________________________________Excel_BuiltIn_Print_Area_2_1">#REF!</definedName>
    <definedName name="_207_____________________________________________________________________________________________Excel_BuiltIn_Print_Area_2_1" localSheetId="1">#REF!</definedName>
    <definedName name="_207_____________________________________________________________________________________________Excel_BuiltIn_Print_Area_2_1" localSheetId="3">#REF!</definedName>
    <definedName name="_207_____________________________________________________________________________________________Excel_BuiltIn_Print_Area_2_1">#REF!</definedName>
    <definedName name="_21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1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1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1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1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1_______________________________________________________________________________________________________________________________________________________________________________________________Excel_BuiltIn_Print_Area_2_1">#REF!</definedName>
    <definedName name="_210___________________________________________________________________________________________Excel_BuiltIn_Print_Area_2_1" localSheetId="1">#REF!</definedName>
    <definedName name="_210___________________________________________________________________________________________Excel_BuiltIn_Print_Area_2_1" localSheetId="3">#REF!</definedName>
    <definedName name="_210___________________________________________________________________________________________Excel_BuiltIn_Print_Area_2_1">#REF!</definedName>
    <definedName name="_213________________________________________________________Excel_BuiltIn_Print_Area_2_1" localSheetId="1">#REF!</definedName>
    <definedName name="_213________________________________________________________Excel_BuiltIn_Print_Area_2_1" localSheetId="3">#REF!</definedName>
    <definedName name="_213________________________________________________________Excel_BuiltIn_Print_Area_2_1">#REF!</definedName>
    <definedName name="_216______________________________________________________Excel_BuiltIn_Print_Area_2_1" localSheetId="1">#REF!</definedName>
    <definedName name="_216______________________________________________________Excel_BuiltIn_Print_Area_2_1" localSheetId="3">#REF!</definedName>
    <definedName name="_216______________________________________________________Excel_BuiltIn_Print_Area_2_1">#REF!</definedName>
    <definedName name="_219_________________________________________Excel_BuiltIn_Print_Area_2_1" localSheetId="1">#REF!</definedName>
    <definedName name="_219_________________________________________Excel_BuiltIn_Print_Area_2_1" localSheetId="3">#REF!</definedName>
    <definedName name="_219_________________________________________Excel_BuiltIn_Print_Area_2_1">#REF!</definedName>
    <definedName name="_22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2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2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2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2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2______________________________________________________________________________________________________________________________________________________________________________________________Excel_BuiltIn_Print_Area_2_1">#REF!</definedName>
    <definedName name="_222________________________________________Excel_BuiltIn_Print_Area_2_1" localSheetId="1">#REF!</definedName>
    <definedName name="_222________________________________________Excel_BuiltIn_Print_Area_2_1" localSheetId="3">#REF!</definedName>
    <definedName name="_222________________________________________Excel_BuiltIn_Print_Area_2_1">#REF!</definedName>
    <definedName name="_225_______________________________________Excel_BuiltIn_Print_Area_2_1" localSheetId="1">#REF!</definedName>
    <definedName name="_225_______________________________________Excel_BuiltIn_Print_Area_2_1" localSheetId="3">#REF!</definedName>
    <definedName name="_225_______________________________________Excel_BuiltIn_Print_Area_2_1">#REF!</definedName>
    <definedName name="_228______________________________________Excel_BuiltIn_Print_Area_2_1" localSheetId="1">#REF!</definedName>
    <definedName name="_228______________________________________Excel_BuiltIn_Print_Area_2_1" localSheetId="3">#REF!</definedName>
    <definedName name="_228______________________________________Excel_BuiltIn_Print_Area_2_1">#REF!</definedName>
    <definedName name="_23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3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3_____________________________________________________________________________________________________________________________________________________________________________________________Excel_BuiltIn_Print_Area_2_1">#REF!</definedName>
    <definedName name="_231_____________________________________Excel_BuiltIn_Print_Area_2_1" localSheetId="1">#REF!</definedName>
    <definedName name="_231_____________________________________Excel_BuiltIn_Print_Area_2_1" localSheetId="3">#REF!</definedName>
    <definedName name="_231_____________________________________Excel_BuiltIn_Print_Area_2_1">#REF!</definedName>
    <definedName name="_234____________________________________Excel_BuiltIn_Print_Area_2_1" localSheetId="1">#REF!</definedName>
    <definedName name="_234____________________________________Excel_BuiltIn_Print_Area_2_1" localSheetId="3">#REF!</definedName>
    <definedName name="_234____________________________________Excel_BuiltIn_Print_Area_2_1">#REF!</definedName>
    <definedName name="_237__________________________________Excel_BuiltIn_Print_Area_2_1" localSheetId="1">#REF!</definedName>
    <definedName name="_237__________________________________Excel_BuiltIn_Print_Area_2_1" localSheetId="3">#REF!</definedName>
    <definedName name="_237__________________________________Excel_BuiltIn_Print_Area_2_1">#REF!</definedName>
    <definedName name="_24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4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4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4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4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4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4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4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4____________________________________________________________________________________________________________________________________________________________________________________________Excel_BuiltIn_Print_Area_2_1">#REF!</definedName>
    <definedName name="_240_____________________________________________________________________________________________________________________________________________________________________Excel_BuiltIn_Print_Area_2_1" localSheetId="1">#REF!</definedName>
    <definedName name="_240_____________________________________________________________________________________________________________________________________________________________________Excel_BuiltIn_Print_Area_2_1" localSheetId="3">#REF!</definedName>
    <definedName name="_240_____________________________________________________________________________________________________________________________________________________________________Excel_BuiltIn_Print_Area_2_1">#REF!</definedName>
    <definedName name="_240____________________Excel_BuiltIn_Print_Area_2_1" localSheetId="1">#REF!</definedName>
    <definedName name="_240____________________Excel_BuiltIn_Print_Area_2_1" localSheetId="3">#REF!</definedName>
    <definedName name="_240____________________Excel_BuiltIn_Print_Area_2_1">#REF!</definedName>
    <definedName name="_243______________Excel_BuiltIn_Print_Area_2_1" localSheetId="1">#REF!</definedName>
    <definedName name="_243______________Excel_BuiltIn_Print_Area_2_1" localSheetId="3">#REF!</definedName>
    <definedName name="_243______________Excel_BuiltIn_Print_Area_2_1">#REF!</definedName>
    <definedName name="_246_____________Excel_BuiltIn_Print_Area_2_1" localSheetId="1">#REF!</definedName>
    <definedName name="_246_____________Excel_BuiltIn_Print_Area_2_1" localSheetId="3">#REF!</definedName>
    <definedName name="_246_____________Excel_BuiltIn_Print_Area_2_1">#REF!</definedName>
    <definedName name="_249____________Excel_BuiltIn_Print_Area_2_1" localSheetId="1">#REF!</definedName>
    <definedName name="_249____________Excel_BuiltIn_Print_Area_2_1" localSheetId="3">#REF!</definedName>
    <definedName name="_249____________Excel_BuiltIn_Print_Area_2_1">#REF!</definedName>
    <definedName name="_25___________________________________________________________________________________________________________________________________________________________________________________________Excel_BuiltIn_Print_Area_2_1" localSheetId="1">#REF!</definedName>
    <definedName name="_25___________________________________________________________________________________________________________________________________________________________________________________________Excel_BuiltIn_Print_Area_2_1" localSheetId="3">#REF!</definedName>
    <definedName name="_25___________________________________________________________________________________________________________________________________________________________________________________________Excel_BuiltIn_Print_Area_2_1">#REF!</definedName>
    <definedName name="_252___________Excel_BuiltIn_Print_Area_2_1" localSheetId="1">#REF!</definedName>
    <definedName name="_252___________Excel_BuiltIn_Print_Area_2_1" localSheetId="3">#REF!</definedName>
    <definedName name="_252___________Excel_BuiltIn_Print_Area_2_1">#REF!</definedName>
    <definedName name="_255_______Excel_BuiltIn_Print_Area_2_1" localSheetId="1">#REF!</definedName>
    <definedName name="_255_______Excel_BuiltIn_Print_Area_2_1" localSheetId="3">#REF!</definedName>
    <definedName name="_255_______Excel_BuiltIn_Print_Area_2_1">#REF!</definedName>
    <definedName name="_26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6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6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6_________________________________________________________________________________________________________________________________________________________________________________________Excel_BuiltIn_Print_Area_2_1" localSheetId="1">#REF!</definedName>
    <definedName name="_26_________________________________________________________________________________________________________________________________________________________________________________________Excel_BuiltIn_Print_Area_2_1" localSheetId="3">#REF!</definedName>
    <definedName name="_26_________________________________________________________________________________________________________________________________________________________________________________________Excel_BuiltIn_Print_Area_2_1">#REF!</definedName>
    <definedName name="_27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7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7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27_______________________________________________________________________________________________________________________________________________________________________________________Excel_BuiltIn_Print_Area_2_1" localSheetId="1">#REF!</definedName>
    <definedName name="_27_______________________________________________________________________________________________________________________________________________________________________________________Excel_BuiltIn_Print_Area_2_1" localSheetId="3">#REF!</definedName>
    <definedName name="_27_______________________________________________________________________________________________________________________________________________________________________________________Excel_BuiltIn_Print_Area_2_1">#REF!</definedName>
    <definedName name="_28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28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28___________________________________________________________________________________________________________________________________________________________________________________________________________Excel_BuiltIn_Print_Area_2_1">#REF!</definedName>
    <definedName name="_28_____________________________________________________________________________________________________________________________________________________________________________________Excel_BuiltIn_Print_Area_2_1" localSheetId="1">#REF!</definedName>
    <definedName name="_28_____________________________________________________________________________________________________________________________________________________________________________________Excel_BuiltIn_Print_Area_2_1" localSheetId="3">#REF!</definedName>
    <definedName name="_28_____________________________________________________________________________________________________________________________________________________________________________________Excel_BuiltIn_Print_Area_2_1">#REF!</definedName>
    <definedName name="_29____________________________________________________________________________________________________________________________________________________________________________________Excel_BuiltIn_Print_Area_2_1" localSheetId="1">#REF!</definedName>
    <definedName name="_29____________________________________________________________________________________________________________________________________________________________________________________Excel_BuiltIn_Print_Area_2_1" localSheetId="3">#REF!</definedName>
    <definedName name="_29____________________________________________________________________________________________________________________________________________________________________________________Excel_BuiltIn_Print_Area_2_1">#REF!</definedName>
    <definedName name="_2Excel_BuiltIn_Print_Area_2_1" localSheetId="1">#REF!</definedName>
    <definedName name="_2Excel_BuiltIn_Print_Area_2_1" localSheetId="3">#REF!</definedName>
    <definedName name="_2Excel_BuiltIn_Print_Area_2_1">#REF!</definedName>
    <definedName name="_3___________________________________________________________________________________________________________________________________________________________________________________________________________________________________Excel_BuiltIn_Print_Area" localSheetId="1">#REF!</definedName>
    <definedName name="_3___________________________________________________________________________________________________________________________________________________________________________________________________________________________________Excel_BuiltIn_Print_Area" localSheetId="3">#REF!</definedName>
    <definedName name="_3___________________________________________________________________________________________________________________________________________________________________________________________________________________________________Excel_BuiltIn_Print_Area">#REF!</definedName>
    <definedName name="_3__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__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__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30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0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0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30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0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0_________________________________________________________________________________________________________________________________________________________________________________________________________Excel_BuiltIn_Print_Area_2_1">#REF!</definedName>
    <definedName name="_30___________________________________________________________________________________________________________________________________________________________________________________Excel_BuiltIn_Print_Area_2_1" localSheetId="1">#REF!</definedName>
    <definedName name="_30___________________________________________________________________________________________________________________________________________________________________________________Excel_BuiltIn_Print_Area_2_1" localSheetId="3">#REF!</definedName>
    <definedName name="_30___________________________________________________________________________________________________________________________________________________________________________________Excel_BuiltIn_Print_Area_2_1">#REF!</definedName>
    <definedName name="_300_____________________________________________________________________________________________________________________Excel_BuiltIn_Print_Area_2_1" localSheetId="1">#REF!</definedName>
    <definedName name="_300_____________________________________________________________________________________________________________________Excel_BuiltIn_Print_Area_2_1" localSheetId="3">#REF!</definedName>
    <definedName name="_300_____________________________________________________________________________________________________________________Excel_BuiltIn_Print_Area_2_1">#REF!</definedName>
    <definedName name="_31__________________________________________________________________________________________________________________________________________________________________________________Excel_BuiltIn_Print_Area_2_1" localSheetId="1">#REF!</definedName>
    <definedName name="_31__________________________________________________________________________________________________________________________________________________________________________________Excel_BuiltIn_Print_Area_2_1" localSheetId="3">#REF!</definedName>
    <definedName name="_31__________________________________________________________________________________________________________________________________________________________________________________Excel_BuiltIn_Print_Area_2_1">#REF!</definedName>
    <definedName name="_32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2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2_______________________________________________________________________________________________________________________________________________________________________________________________________Excel_BuiltIn_Print_Area_2_1">#REF!</definedName>
    <definedName name="_32_________________________________________________________________________________________________________________________________________________________________________________Excel_BuiltIn_Print_Area_2_1" localSheetId="1">#REF!</definedName>
    <definedName name="_32_________________________________________________________________________________________________________________________________________________________________________________Excel_BuiltIn_Print_Area_2_1" localSheetId="3">#REF!</definedName>
    <definedName name="_32_________________________________________________________________________________________________________________________________________________________________________________Excel_BuiltIn_Print_Area_2_1">#REF!</definedName>
    <definedName name="_33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3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3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33_______________________________________________________________________________________________________________________________________________________________________________Excel_BuiltIn_Print_Area_2_1" localSheetId="1">#REF!</definedName>
    <definedName name="_33_______________________________________________________________________________________________________________________________________________________________________________Excel_BuiltIn_Print_Area_2_1" localSheetId="3">#REF!</definedName>
    <definedName name="_33_______________________________________________________________________________________________________________________________________________________________________________Excel_BuiltIn_Print_Area_2_1">#REF!</definedName>
    <definedName name="_34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4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4______________________________________________________________________________________________________________________________________________________________________________________________________Excel_BuiltIn_Print_Area_2_1">#REF!</definedName>
    <definedName name="_34_____________________________________________________________________________________________________________________________________________________________________________Excel_BuiltIn_Print_Area_2_1" localSheetId="1">#REF!</definedName>
    <definedName name="_34_____________________________________________________________________________________________________________________________________________________________________________Excel_BuiltIn_Print_Area_2_1" localSheetId="3">#REF!</definedName>
    <definedName name="_34_____________________________________________________________________________________________________________________________________________________________________________Excel_BuiltIn_Print_Area_2_1">#REF!</definedName>
    <definedName name="_35___________________________________________________________________________________________________________________________________________________________________________Excel_BuiltIn_Print_Area_2_1" localSheetId="1">#REF!</definedName>
    <definedName name="_35___________________________________________________________________________________________________________________________________________________________________________Excel_BuiltIn_Print_Area_2_1" localSheetId="3">#REF!</definedName>
    <definedName name="_35___________________________________________________________________________________________________________________________________________________________________________Excel_BuiltIn_Print_Area_2_1">#REF!</definedName>
    <definedName name="_36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6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6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36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6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6_____________________________________________________________________________________________________________________________________________________________________________________________________Excel_BuiltIn_Print_Area_2_1">#REF!</definedName>
    <definedName name="_36__________________________________________________________________________________________________________________________________________________________________________Excel_BuiltIn_Print_Area_2_1" localSheetId="1">#REF!</definedName>
    <definedName name="_36__________________________________________________________________________________________________________________________________________________________________________Excel_BuiltIn_Print_Area_2_1" localSheetId="3">#REF!</definedName>
    <definedName name="_36__________________________________________________________________________________________________________________________________________________________________________Excel_BuiltIn_Print_Area_2_1">#REF!</definedName>
    <definedName name="_360________________________________________________________________________________________________________Excel_BuiltIn_Print_Area_2_1" localSheetId="1">#REF!</definedName>
    <definedName name="_360________________________________________________________________________________________________________Excel_BuiltIn_Print_Area_2_1" localSheetId="3">#REF!</definedName>
    <definedName name="_360________________________________________________________________________________________________________Excel_BuiltIn_Print_Area_2_1">#REF!</definedName>
    <definedName name="_37_________________________________________________________________________________________________________________________________________________________________________Excel_BuiltIn_Print_Area_2_1" localSheetId="1">#REF!</definedName>
    <definedName name="_37_________________________________________________________________________________________________________________________________________________________________________Excel_BuiltIn_Print_Area_2_1" localSheetId="3">#REF!</definedName>
    <definedName name="_37_________________________________________________________________________________________________________________________________________________________________________Excel_BuiltIn_Print_Area_2_1">#REF!</definedName>
    <definedName name="_38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8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8___________________________________________________________________________________________________________________________________________________________________________________________________Excel_BuiltIn_Print_Area_2_1">#REF!</definedName>
    <definedName name="_38________________________________________________________________________________________________________________________________________________________________________Excel_BuiltIn_Print_Area_2_1" localSheetId="1">#REF!</definedName>
    <definedName name="_38________________________________________________________________________________________________________________________________________________________________________Excel_BuiltIn_Print_Area_2_1" localSheetId="3">#REF!</definedName>
    <definedName name="_38________________________________________________________________________________________________________________________________________________________________________Excel_BuiltIn_Print_Area_2_1">#REF!</definedName>
    <definedName name="_39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39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39_____________________________________________________________________________________________________________________________________________________________________________________________________________Excel_BuiltIn_Print_Area_2_1">#REF!</definedName>
    <definedName name="_39_______________________________________________________________________________________________________________________________________________________________________Excel_BuiltIn_Print_Area_2_1" localSheetId="1">#REF!</definedName>
    <definedName name="_39_______________________________________________________________________________________________________________________________________________________________________Excel_BuiltIn_Print_Area_2_1" localSheetId="3">#REF!</definedName>
    <definedName name="_39_______________________________________________________________________________________________________________________________________________________________________Excel_BuiltIn_Print_Area_2_1">#REF!</definedName>
    <definedName name="_4_________________________________________________________________________________________________________________________________________________________________________________________________________________________________Excel_BuiltIn_Print_Area_2" localSheetId="1">#REF!</definedName>
    <definedName name="_4_________________________________________________________________________________________________________________________________________________________________________________________________________________________________Excel_BuiltIn_Print_Area_2" localSheetId="3">#REF!</definedName>
    <definedName name="_4_________________________________________________________________________________________________________________________________________________________________________________________________________________________________Excel_BuiltIn_Print_Area_2">#REF!</definedName>
    <definedName name="_4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40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0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0_________________________________________________________________________________________________________________________________________________________________________________________________Excel_BuiltIn_Print_Area_2_1">#REF!</definedName>
    <definedName name="_40_____________________________________________________________________________________________________________________________________________________________________Excel_BuiltIn_Print_Area_2_1" localSheetId="1">#REF!</definedName>
    <definedName name="_40_____________________________________________________________________________________________________________________________________________________________________Excel_BuiltIn_Print_Area_2_1" localSheetId="3">#REF!</definedName>
    <definedName name="_40_____________________________________________________________________________________________________________________________________________________________________Excel_BuiltIn_Print_Area_2_1">#REF!</definedName>
    <definedName name="_41___________________________________________________________________________________________________________________________________Excel_BuiltIn_Print_Area_2_1" localSheetId="1">#REF!</definedName>
    <definedName name="_41___________________________________________________________________________________________________________________________________Excel_BuiltIn_Print_Area_2_1" localSheetId="3">#REF!</definedName>
    <definedName name="_41___________________________________________________________________________________________________________________________________Excel_BuiltIn_Print_Area_2_1">#REF!</definedName>
    <definedName name="_42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2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2___________________________________________________________________________________________________________________________________________________________________________________________________________Excel_BuiltIn_Print_Area_2_1">#REF!</definedName>
    <definedName name="_42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2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2_______________________________________________________________________________________________________________________________________________________________________________________________Excel_BuiltIn_Print_Area_2_1">#REF!</definedName>
    <definedName name="_42__________________________________________________________________________________________________________________________________Excel_BuiltIn_Print_Area_2_1" localSheetId="1">#REF!</definedName>
    <definedName name="_42__________________________________________________________________________________________________________________________________Excel_BuiltIn_Print_Area_2_1" localSheetId="3">#REF!</definedName>
    <definedName name="_42__________________________________________________________________________________________________________________________________Excel_BuiltIn_Print_Area_2_1">#REF!</definedName>
    <definedName name="_420___________________________________________________________________________________________Excel_BuiltIn_Print_Area_2_1" localSheetId="1">#REF!</definedName>
    <definedName name="_420___________________________________________________________________________________________Excel_BuiltIn_Print_Area_2_1" localSheetId="3">#REF!</definedName>
    <definedName name="_420___________________________________________________________________________________________Excel_BuiltIn_Print_Area_2_1">#REF!</definedName>
    <definedName name="_43________________________________________________________________________________________________________________________________Excel_BuiltIn_Print_Area_2_1" localSheetId="1">#REF!</definedName>
    <definedName name="_43________________________________________________________________________________________________________________________________Excel_BuiltIn_Print_Area_2_1" localSheetId="3">#REF!</definedName>
    <definedName name="_43________________________________________________________________________________________________________________________________Excel_BuiltIn_Print_Area_2_1">#REF!</definedName>
    <definedName name="_44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4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4______________________________________________________________________________________________________________________________________________________________________________________________Excel_BuiltIn_Print_Area_2_1">#REF!</definedName>
    <definedName name="_44______________________________________________________________________________________________________________________________Excel_BuiltIn_Print_Area_2_1" localSheetId="1">#REF!</definedName>
    <definedName name="_44______________________________________________________________________________________________________________________________Excel_BuiltIn_Print_Area_2_1" localSheetId="3">#REF!</definedName>
    <definedName name="_44______________________________________________________________________________________________________________________________Excel_BuiltIn_Print_Area_2_1">#REF!</definedName>
    <definedName name="_45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5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5_________________________________________________________________________________________________________________________________________________________________________________________________________Excel_BuiltIn_Print_Area_2_1">#REF!</definedName>
    <definedName name="_45_____________________________________________________________________________________________________________________________Excel_BuiltIn_Print_Area_2_1" localSheetId="1">#REF!</definedName>
    <definedName name="_45_____________________________________________________________________________________________________________________________Excel_BuiltIn_Print_Area_2_1" localSheetId="3">#REF!</definedName>
    <definedName name="_45_____________________________________________________________________________________________________________________________Excel_BuiltIn_Print_Area_2_1">#REF!</definedName>
    <definedName name="_46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6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6_____________________________________________________________________________________________________________________________________________________________________________________________Excel_BuiltIn_Print_Area_2_1">#REF!</definedName>
    <definedName name="_46____________________________________________________________________________________________________________________________Excel_BuiltIn_Print_Area_2_1" localSheetId="1">#REF!</definedName>
    <definedName name="_46____________________________________________________________________________________________________________________________Excel_BuiltIn_Print_Area_2_1" localSheetId="3">#REF!</definedName>
    <definedName name="_46____________________________________________________________________________________________________________________________Excel_BuiltIn_Print_Area_2_1">#REF!</definedName>
    <definedName name="_47__________________________________________________________________________________________________________________________Excel_BuiltIn_Print_Area_2_1" localSheetId="1">#REF!</definedName>
    <definedName name="_47__________________________________________________________________________________________________________________________Excel_BuiltIn_Print_Area_2_1" localSheetId="3">#REF!</definedName>
    <definedName name="_47__________________________________________________________________________________________________________________________Excel_BuiltIn_Print_Area_2_1">#REF!</definedName>
    <definedName name="_48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8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8_______________________________________________________________________________________________________________________________________________________________________________________________________Excel_BuiltIn_Print_Area_2_1">#REF!</definedName>
    <definedName name="_48____________________________________________________________________________________________________________________________________________________________________________________________Excel_BuiltIn_Print_Area_2_1" localSheetId="1">#REF!</definedName>
    <definedName name="_48____________________________________________________________________________________________________________________________________________________________________________________________Excel_BuiltIn_Print_Area_2_1" localSheetId="3">#REF!</definedName>
    <definedName name="_48____________________________________________________________________________________________________________________________________________________________________________________________Excel_BuiltIn_Print_Area_2_1">#REF!</definedName>
    <definedName name="_48________________________________________________________________________________________________________________________Excel_BuiltIn_Print_Area_2_1" localSheetId="1">#REF!</definedName>
    <definedName name="_48________________________________________________________________________________________________________________________Excel_BuiltIn_Print_Area_2_1" localSheetId="3">#REF!</definedName>
    <definedName name="_48________________________________________________________________________________________________________________________Excel_BuiltIn_Print_Area_2_1">#REF!</definedName>
    <definedName name="_480____________________Excel_BuiltIn_Print_Area_2_1" localSheetId="1">#REF!</definedName>
    <definedName name="_480____________________Excel_BuiltIn_Print_Area_2_1" localSheetId="3">#REF!</definedName>
    <definedName name="_480____________________Excel_BuiltIn_Print_Area_2_1">#REF!</definedName>
    <definedName name="_49______________________________________________________________________________________________________________________Excel_BuiltIn_Print_Area_2_1" localSheetId="1">#REF!</definedName>
    <definedName name="_49______________________________________________________________________________________________________________________Excel_BuiltIn_Print_Area_2_1" localSheetId="3">#REF!</definedName>
    <definedName name="_49______________________________________________________________________________________________________________________Excel_BuiltIn_Print_Area_2_1">#REF!</definedName>
    <definedName name="_5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5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5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50___________________________________________________________________________________________________________________________________________________________________________________________Excel_BuiltIn_Print_Area_2_1" localSheetId="1">#REF!</definedName>
    <definedName name="_50___________________________________________________________________________________________________________________________________________________________________________________________Excel_BuiltIn_Print_Area_2_1" localSheetId="3">#REF!</definedName>
    <definedName name="_50___________________________________________________________________________________________________________________________________________________________________________________________Excel_BuiltIn_Print_Area_2_1">#REF!</definedName>
    <definedName name="_50_____________________________________________________________________________________________________________________Excel_BuiltIn_Print_Area_2_1" localSheetId="1">#REF!</definedName>
    <definedName name="_50_____________________________________________________________________________________________________________________Excel_BuiltIn_Print_Area_2_1" localSheetId="3">#REF!</definedName>
    <definedName name="_50_____________________________________________________________________________________________________________________Excel_BuiltIn_Print_Area_2_1">#REF!</definedName>
    <definedName name="_51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51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51______________________________________________________________________________________________________________________________________________________________________________________________________Excel_BuiltIn_Print_Area_2_1">#REF!</definedName>
    <definedName name="_51____________________________________________________________________________________________________________________Excel_BuiltIn_Print_Area_2_1" localSheetId="1">#REF!</definedName>
    <definedName name="_51____________________________________________________________________________________________________________________Excel_BuiltIn_Print_Area_2_1" localSheetId="3">#REF!</definedName>
    <definedName name="_51____________________________________________________________________________________________________________________Excel_BuiltIn_Print_Area_2_1">#REF!</definedName>
    <definedName name="_52_________________________________________________________________________________________________________________________________________________________________________________________Excel_BuiltIn_Print_Area_2_1" localSheetId="1">#REF!</definedName>
    <definedName name="_52_________________________________________________________________________________________________________________________________________________________________________________________Excel_BuiltIn_Print_Area_2_1" localSheetId="3">#REF!</definedName>
    <definedName name="_52_________________________________________________________________________________________________________________________________________________________________________________________Excel_BuiltIn_Print_Area_2_1">#REF!</definedName>
    <definedName name="_52___________________________________________________________________________________________________________________Excel_BuiltIn_Print_Area_2_1" localSheetId="1">#REF!</definedName>
    <definedName name="_52___________________________________________________________________________________________________________________Excel_BuiltIn_Print_Area_2_1" localSheetId="3">#REF!</definedName>
    <definedName name="_52___________________________________________________________________________________________________________________Excel_BuiltIn_Print_Area_2_1">#REF!</definedName>
    <definedName name="_53__________________________________________________________________________________________________________________Excel_BuiltIn_Print_Area_2_1" localSheetId="1">#REF!</definedName>
    <definedName name="_53__________________________________________________________________________________________________________________Excel_BuiltIn_Print_Area_2_1" localSheetId="3">#REF!</definedName>
    <definedName name="_53__________________________________________________________________________________________________________________Excel_BuiltIn_Print_Area_2_1">#REF!</definedName>
    <definedName name="_54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54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54_____________________________________________________________________________________________________________________________________________________________________________________________________Excel_BuiltIn_Print_Area_2_1">#REF!</definedName>
    <definedName name="_54_______________________________________________________________________________________________________________________________________________________________________________________Excel_BuiltIn_Print_Area_2_1" localSheetId="1">#REF!</definedName>
    <definedName name="_54_______________________________________________________________________________________________________________________________________________________________________________________Excel_BuiltIn_Print_Area_2_1" localSheetId="3">#REF!</definedName>
    <definedName name="_54_______________________________________________________________________________________________________________________________________________________________________________________Excel_BuiltIn_Print_Area_2_1">#REF!</definedName>
    <definedName name="_54________________________________________________________________________________________________________________Excel_BuiltIn_Print_Area_2_1" localSheetId="1">#REF!</definedName>
    <definedName name="_54________________________________________________________________________________________________________________Excel_BuiltIn_Print_Area_2_1" localSheetId="3">#REF!</definedName>
    <definedName name="_54________________________________________________________________________________________________________________Excel_BuiltIn_Print_Area_2_1">#REF!</definedName>
    <definedName name="_55_______________________________________________________________________________________________________________Excel_BuiltIn_Print_Area_2_1" localSheetId="1">#REF!</definedName>
    <definedName name="_55_______________________________________________________________________________________________________________Excel_BuiltIn_Print_Area_2_1" localSheetId="3">#REF!</definedName>
    <definedName name="_55_______________________________________________________________________________________________________________Excel_BuiltIn_Print_Area_2_1">#REF!</definedName>
    <definedName name="_56_____________________________________________________________________________________________________________________________________________________________________________________Excel_BuiltIn_Print_Area_2_1" localSheetId="1">#REF!</definedName>
    <definedName name="_56_____________________________________________________________________________________________________________________________________________________________________________________Excel_BuiltIn_Print_Area_2_1" localSheetId="3">#REF!</definedName>
    <definedName name="_56_____________________________________________________________________________________________________________________________________________________________________________________Excel_BuiltIn_Print_Area_2_1">#REF!</definedName>
    <definedName name="_56______________________________________________________________________________________________________________Excel_BuiltIn_Print_Area_2_1" localSheetId="1">#REF!</definedName>
    <definedName name="_56______________________________________________________________________________________________________________Excel_BuiltIn_Print_Area_2_1" localSheetId="3">#REF!</definedName>
    <definedName name="_56______________________________________________________________________________________________________________Excel_BuiltIn_Print_Area_2_1">#REF!</definedName>
    <definedName name="_57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57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57___________________________________________________________________________________________________________________________________________________________________________________________________Excel_BuiltIn_Print_Area_2_1">#REF!</definedName>
    <definedName name="_57____________________________________________________________________________________________________________Excel_BuiltIn_Print_Area_2_1" localSheetId="1">#REF!</definedName>
    <definedName name="_57____________________________________________________________________________________________________________Excel_BuiltIn_Print_Area_2_1" localSheetId="3">#REF!</definedName>
    <definedName name="_57____________________________________________________________________________________________________________Excel_BuiltIn_Print_Area_2_1">#REF!</definedName>
    <definedName name="_58____________________________________________________________________________________________________________________________________________________________________________________Excel_BuiltIn_Print_Area_2_1" localSheetId="1">#REF!</definedName>
    <definedName name="_58____________________________________________________________________________________________________________________________________________________________________________________Excel_BuiltIn_Print_Area_2_1" localSheetId="3">#REF!</definedName>
    <definedName name="_58____________________________________________________________________________________________________________________________________________________________________________________Excel_BuiltIn_Print_Area_2_1">#REF!</definedName>
    <definedName name="_58___________________________________________________________________________________________________________Excel_BuiltIn_Print_Area_2_1" localSheetId="1">#REF!</definedName>
    <definedName name="_58___________________________________________________________________________________________________________Excel_BuiltIn_Print_Area_2_1" localSheetId="3">#REF!</definedName>
    <definedName name="_58___________________________________________________________________________________________________________Excel_BuiltIn_Print_Area_2_1">#REF!</definedName>
    <definedName name="_59_________________________________________________________________________________________________________Excel_BuiltIn_Print_Area_2_1" localSheetId="1">#REF!</definedName>
    <definedName name="_59_________________________________________________________________________________________________________Excel_BuiltIn_Print_Area_2_1" localSheetId="3">#REF!</definedName>
    <definedName name="_59_________________________________________________________________________________________________________Excel_BuiltIn_Print_Area_2_1">#REF!</definedName>
    <definedName name="_6_________________________________________________________________________________________________________________________________________________________________________________________________________________________________Excel_BuiltIn_Print_Area_2" localSheetId="1">#REF!</definedName>
    <definedName name="_6_________________________________________________________________________________________________________________________________________________________________________________________________________________________________Excel_BuiltIn_Print_Area_2" localSheetId="3">#REF!</definedName>
    <definedName name="_6_________________________________________________________________________________________________________________________________________________________________________________________________________________________________Excel_BuiltIn_Print_Area_2">#REF!</definedName>
    <definedName name="_6__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__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__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6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60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0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0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60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0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0_________________________________________________________________________________________________________________________________________________________________________________________________Excel_BuiltIn_Print_Area_2_1">#REF!</definedName>
    <definedName name="_60___________________________________________________________________________________________________________________________________________________________________________________Excel_BuiltIn_Print_Area_2_1" localSheetId="1">#REF!</definedName>
    <definedName name="_60___________________________________________________________________________________________________________________________________________________________________________________Excel_BuiltIn_Print_Area_2_1" localSheetId="3">#REF!</definedName>
    <definedName name="_60___________________________________________________________________________________________________________________________________________________________________________________Excel_BuiltIn_Print_Area_2_1">#REF!</definedName>
    <definedName name="_60________________________________________________________________________________________________________Excel_BuiltIn_Print_Area_2_1" localSheetId="1">#REF!</definedName>
    <definedName name="_60________________________________________________________________________________________________________Excel_BuiltIn_Print_Area_2_1" localSheetId="3">#REF!</definedName>
    <definedName name="_60________________________________________________________________________________________________________Excel_BuiltIn_Print_Area_2_1">#REF!</definedName>
    <definedName name="_61______________________________________________________________________________________________________Excel_BuiltIn_Print_Area_2_1" localSheetId="1">#REF!</definedName>
    <definedName name="_61______________________________________________________________________________________________________Excel_BuiltIn_Print_Area_2_1" localSheetId="3">#REF!</definedName>
    <definedName name="_61______________________________________________________________________________________________________Excel_BuiltIn_Print_Area_2_1">#REF!</definedName>
    <definedName name="_62__________________________________________________________________________________________________________________________________________________________________________________Excel_BuiltIn_Print_Area_2_1" localSheetId="1">#REF!</definedName>
    <definedName name="_62__________________________________________________________________________________________________________________________________________________________________________________Excel_BuiltIn_Print_Area_2_1" localSheetId="3">#REF!</definedName>
    <definedName name="_62__________________________________________________________________________________________________________________________________________________________________________________Excel_BuiltIn_Print_Area_2_1">#REF!</definedName>
    <definedName name="_62_____________________________________________________________________________________________________Excel_BuiltIn_Print_Area_2_1" localSheetId="1">#REF!</definedName>
    <definedName name="_62_____________________________________________________________________________________________________Excel_BuiltIn_Print_Area_2_1" localSheetId="3">#REF!</definedName>
    <definedName name="_62_____________________________________________________________________________________________________Excel_BuiltIn_Print_Area_2_1">#REF!</definedName>
    <definedName name="_63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3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3_______________________________________________________________________________________________________________________________________________________________________________________________Excel_BuiltIn_Print_Area_2_1">#REF!</definedName>
    <definedName name="_63____________________________________________________________________________________________________Excel_BuiltIn_Print_Area_2_1" localSheetId="1">#REF!</definedName>
    <definedName name="_63____________________________________________________________________________________________________Excel_BuiltIn_Print_Area_2_1" localSheetId="3">#REF!</definedName>
    <definedName name="_63____________________________________________________________________________________________________Excel_BuiltIn_Print_Area_2_1">#REF!</definedName>
    <definedName name="_64_________________________________________________________________________________________________________________________________________________________________________________Excel_BuiltIn_Print_Area_2_1" localSheetId="1">#REF!</definedName>
    <definedName name="_64_________________________________________________________________________________________________________________________________________________________________________________Excel_BuiltIn_Print_Area_2_1" localSheetId="3">#REF!</definedName>
    <definedName name="_64_________________________________________________________________________________________________________________________________________________________________________________Excel_BuiltIn_Print_Area_2_1">#REF!</definedName>
    <definedName name="_64___________________________________________________________________________________________________Excel_BuiltIn_Print_Area_2_1" localSheetId="1">#REF!</definedName>
    <definedName name="_64___________________________________________________________________________________________________Excel_BuiltIn_Print_Area_2_1" localSheetId="3">#REF!</definedName>
    <definedName name="_64___________________________________________________________________________________________________Excel_BuiltIn_Print_Area_2_1">#REF!</definedName>
    <definedName name="_65__________________________________________________________________________________________________Excel_BuiltIn_Print_Area_2_1" localSheetId="1">#REF!</definedName>
    <definedName name="_65__________________________________________________________________________________________________Excel_BuiltIn_Print_Area_2_1" localSheetId="3">#REF!</definedName>
    <definedName name="_65__________________________________________________________________________________________________Excel_BuiltIn_Print_Area_2_1">#REF!</definedName>
    <definedName name="_66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6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6______________________________________________________________________________________________________________________________________________________________________________________________Excel_BuiltIn_Print_Area_2_1">#REF!</definedName>
    <definedName name="_66_______________________________________________________________________________________________________________________________________________________________________________Excel_BuiltIn_Print_Area_2_1" localSheetId="1">#REF!</definedName>
    <definedName name="_66_______________________________________________________________________________________________________________________________________________________________________________Excel_BuiltIn_Print_Area_2_1" localSheetId="3">#REF!</definedName>
    <definedName name="_66_______________________________________________________________________________________________________________________________________________________________________________Excel_BuiltIn_Print_Area_2_1">#REF!</definedName>
    <definedName name="_66_________________________________________________________________________________________________Excel_BuiltIn_Print_Area_2_1" localSheetId="1">#REF!</definedName>
    <definedName name="_66_________________________________________________________________________________________________Excel_BuiltIn_Print_Area_2_1" localSheetId="3">#REF!</definedName>
    <definedName name="_66_________________________________________________________________________________________________Excel_BuiltIn_Print_Area_2_1">#REF!</definedName>
    <definedName name="_67________________________________________________________________________________________________Excel_BuiltIn_Print_Area_2_1" localSheetId="1">#REF!</definedName>
    <definedName name="_67________________________________________________________________________________________________Excel_BuiltIn_Print_Area_2_1" localSheetId="3">#REF!</definedName>
    <definedName name="_67________________________________________________________________________________________________Excel_BuiltIn_Print_Area_2_1">#REF!</definedName>
    <definedName name="_68_____________________________________________________________________________________________________________________________________________________________________________Excel_BuiltIn_Print_Area_2_1" localSheetId="1">#REF!</definedName>
    <definedName name="_68_____________________________________________________________________________________________________________________________________________________________________________Excel_BuiltIn_Print_Area_2_1" localSheetId="3">#REF!</definedName>
    <definedName name="_68_____________________________________________________________________________________________________________________________________________________________________________Excel_BuiltIn_Print_Area_2_1">#REF!</definedName>
    <definedName name="_68_______________________________________________________________________________________________Excel_BuiltIn_Print_Area_2_1" localSheetId="1">#REF!</definedName>
    <definedName name="_68_______________________________________________________________________________________________Excel_BuiltIn_Print_Area_2_1" localSheetId="3">#REF!</definedName>
    <definedName name="_68_______________________________________________________________________________________________Excel_BuiltIn_Print_Area_2_1">#REF!</definedName>
    <definedName name="_69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69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69_____________________________________________________________________________________________________________________________________________________________________________________________Excel_BuiltIn_Print_Area_2_1">#REF!</definedName>
    <definedName name="_69_____________________________________________________________________________________________Excel_BuiltIn_Print_Area_2_1" localSheetId="1">#REF!</definedName>
    <definedName name="_69_____________________________________________________________________________________________Excel_BuiltIn_Print_Area_2_1" localSheetId="3">#REF!</definedName>
    <definedName name="_69_____________________________________________________________________________________________Excel_BuiltIn_Print_Area_2_1">#REF!</definedName>
    <definedName name="_7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7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7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70___________________________________________________________________________________________________________________________________________________________________________Excel_BuiltIn_Print_Area_2_1" localSheetId="1">#REF!</definedName>
    <definedName name="_70___________________________________________________________________________________________________________________________________________________________________________Excel_BuiltIn_Print_Area_2_1" localSheetId="3">#REF!</definedName>
    <definedName name="_70___________________________________________________________________________________________________________________________________________________________________________Excel_BuiltIn_Print_Area_2_1">#REF!</definedName>
    <definedName name="_70___________________________________________________________________________________________Excel_BuiltIn_Print_Area_2_1" localSheetId="1">#REF!</definedName>
    <definedName name="_70___________________________________________________________________________________________Excel_BuiltIn_Print_Area_2_1" localSheetId="3">#REF!</definedName>
    <definedName name="_70___________________________________________________________________________________________Excel_BuiltIn_Print_Area_2_1">#REF!</definedName>
    <definedName name="_71________________________________________________________Excel_BuiltIn_Print_Area_2_1" localSheetId="1">#REF!</definedName>
    <definedName name="_71________________________________________________________Excel_BuiltIn_Print_Area_2_1" localSheetId="3">#REF!</definedName>
    <definedName name="_71________________________________________________________Excel_BuiltIn_Print_Area_2_1">#REF!</definedName>
    <definedName name="_72____________________________________________________________________________________________________________________________________________________________________________________________Excel_BuiltIn_Print_Area_2_1" localSheetId="1">#REF!</definedName>
    <definedName name="_72____________________________________________________________________________________________________________________________________________________________________________________________Excel_BuiltIn_Print_Area_2_1" localSheetId="3">#REF!</definedName>
    <definedName name="_72____________________________________________________________________________________________________________________________________________________________________________________________Excel_BuiltIn_Print_Area_2_1">#REF!</definedName>
    <definedName name="_72__________________________________________________________________________________________________________________________________________________________________________Excel_BuiltIn_Print_Area_2_1" localSheetId="1">#REF!</definedName>
    <definedName name="_72__________________________________________________________________________________________________________________________________________________________________________Excel_BuiltIn_Print_Area_2_1" localSheetId="3">#REF!</definedName>
    <definedName name="_72__________________________________________________________________________________________________________________________________________________________________________Excel_BuiltIn_Print_Area_2_1">#REF!</definedName>
    <definedName name="_72______________________________________________________Excel_BuiltIn_Print_Area_2_1" localSheetId="1">#REF!</definedName>
    <definedName name="_72______________________________________________________Excel_BuiltIn_Print_Area_2_1" localSheetId="3">#REF!</definedName>
    <definedName name="_72______________________________________________________Excel_BuiltIn_Print_Area_2_1">#REF!</definedName>
    <definedName name="_73_________________________________________Excel_BuiltIn_Print_Area_2_1" localSheetId="1">#REF!</definedName>
    <definedName name="_73_________________________________________Excel_BuiltIn_Print_Area_2_1" localSheetId="3">#REF!</definedName>
    <definedName name="_73_________________________________________Excel_BuiltIn_Print_Area_2_1">#REF!</definedName>
    <definedName name="_74_________________________________________________________________________________________________________________________________________________________________________Excel_BuiltIn_Print_Area_2_1" localSheetId="1">#REF!</definedName>
    <definedName name="_74_________________________________________________________________________________________________________________________________________________________________________Excel_BuiltIn_Print_Area_2_1" localSheetId="3">#REF!</definedName>
    <definedName name="_74_________________________________________________________________________________________________________________________________________________________________________Excel_BuiltIn_Print_Area_2_1">#REF!</definedName>
    <definedName name="_74________________________________________Excel_BuiltIn_Print_Area_2_1" localSheetId="1">#REF!</definedName>
    <definedName name="_74________________________________________Excel_BuiltIn_Print_Area_2_1" localSheetId="3">#REF!</definedName>
    <definedName name="_74________________________________________Excel_BuiltIn_Print_Area_2_1">#REF!</definedName>
    <definedName name="_75___________________________________________________________________________________________________________________________________________________________________________________________Excel_BuiltIn_Print_Area_2_1" localSheetId="1">#REF!</definedName>
    <definedName name="_75___________________________________________________________________________________________________________________________________________________________________________________________Excel_BuiltIn_Print_Area_2_1" localSheetId="3">#REF!</definedName>
    <definedName name="_75___________________________________________________________________________________________________________________________________________________________________________________________Excel_BuiltIn_Print_Area_2_1">#REF!</definedName>
    <definedName name="_75_______________________________________Excel_BuiltIn_Print_Area_2_1" localSheetId="1">#REF!</definedName>
    <definedName name="_75_______________________________________Excel_BuiltIn_Print_Area_2_1" localSheetId="3">#REF!</definedName>
    <definedName name="_75_______________________________________Excel_BuiltIn_Print_Area_2_1">#REF!</definedName>
    <definedName name="_76________________________________________________________________________________________________________________________________________________________________________Excel_BuiltIn_Print_Area_2_1" localSheetId="1">#REF!</definedName>
    <definedName name="_76________________________________________________________________________________________________________________________________________________________________________Excel_BuiltIn_Print_Area_2_1" localSheetId="3">#REF!</definedName>
    <definedName name="_76________________________________________________________________________________________________________________________________________________________________________Excel_BuiltIn_Print_Area_2_1">#REF!</definedName>
    <definedName name="_76______________________________________Excel_BuiltIn_Print_Area_2_1" localSheetId="1">#REF!</definedName>
    <definedName name="_76______________________________________Excel_BuiltIn_Print_Area_2_1" localSheetId="3">#REF!</definedName>
    <definedName name="_76______________________________________Excel_BuiltIn_Print_Area_2_1">#REF!</definedName>
    <definedName name="_77_____________________________________Excel_BuiltIn_Print_Area_2_1" localSheetId="1">#REF!</definedName>
    <definedName name="_77_____________________________________Excel_BuiltIn_Print_Area_2_1" localSheetId="3">#REF!</definedName>
    <definedName name="_77_____________________________________Excel_BuiltIn_Print_Area_2_1">#REF!</definedName>
    <definedName name="_78_________________________________________________________________________________________________________________________________________________________________________________________Excel_BuiltIn_Print_Area_2_1" localSheetId="1">#REF!</definedName>
    <definedName name="_78_________________________________________________________________________________________________________________________________________________________________________________________Excel_BuiltIn_Print_Area_2_1" localSheetId="3">#REF!</definedName>
    <definedName name="_78_________________________________________________________________________________________________________________________________________________________________________________________Excel_BuiltIn_Print_Area_2_1">#REF!</definedName>
    <definedName name="_78_______________________________________________________________________________________________________________________________________________________________________Excel_BuiltIn_Print_Area_2_1" localSheetId="1">#REF!</definedName>
    <definedName name="_78_______________________________________________________________________________________________________________________________________________________________________Excel_BuiltIn_Print_Area_2_1" localSheetId="3">#REF!</definedName>
    <definedName name="_78_______________________________________________________________________________________________________________________________________________________________________Excel_BuiltIn_Print_Area_2_1">#REF!</definedName>
    <definedName name="_78____________________________________Excel_BuiltIn_Print_Area_2_1" localSheetId="1">#REF!</definedName>
    <definedName name="_78____________________________________Excel_BuiltIn_Print_Area_2_1" localSheetId="3">#REF!</definedName>
    <definedName name="_78____________________________________Excel_BuiltIn_Print_Area_2_1">#REF!</definedName>
    <definedName name="_79__________________________________Excel_BuiltIn_Print_Area_2_1" localSheetId="1">#REF!</definedName>
    <definedName name="_79__________________________________Excel_BuiltIn_Print_Area_2_1" localSheetId="3">#REF!</definedName>
    <definedName name="_79__________________________________Excel_BuiltIn_Print_Area_2_1">#REF!</definedName>
    <definedName name="_8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8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8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8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8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8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80_____________________________________________________________________________________________________________________________________________________________________Excel_BuiltIn_Print_Area_2_1" localSheetId="1">#REF!</definedName>
    <definedName name="_80_____________________________________________________________________________________________________________________________________________________________________Excel_BuiltIn_Print_Area_2_1" localSheetId="3">#REF!</definedName>
    <definedName name="_80_____________________________________________________________________________________________________________________________________________________________________Excel_BuiltIn_Print_Area_2_1">#REF!</definedName>
    <definedName name="_80____________________Excel_BuiltIn_Print_Area_2_1" localSheetId="1">#REF!</definedName>
    <definedName name="_80____________________Excel_BuiltIn_Print_Area_2_1" localSheetId="3">#REF!</definedName>
    <definedName name="_80____________________Excel_BuiltIn_Print_Area_2_1">#REF!</definedName>
    <definedName name="_81_______________________________________________________________________________________________________________________________________________________________________________________Excel_BuiltIn_Print_Area_2_1" localSheetId="1">#REF!</definedName>
    <definedName name="_81_______________________________________________________________________________________________________________________________________________________________________________________Excel_BuiltIn_Print_Area_2_1" localSheetId="3">#REF!</definedName>
    <definedName name="_81_______________________________________________________________________________________________________________________________________________________________________________________Excel_BuiltIn_Print_Area_2_1">#REF!</definedName>
    <definedName name="_81______________Excel_BuiltIn_Print_Area_2_1" localSheetId="1">#REF!</definedName>
    <definedName name="_81______________Excel_BuiltIn_Print_Area_2_1" localSheetId="3">#REF!</definedName>
    <definedName name="_81______________Excel_BuiltIn_Print_Area_2_1">#REF!</definedName>
    <definedName name="_82___________________________________________________________________________________________________________________________________Excel_BuiltIn_Print_Area_2_1" localSheetId="1">#REF!</definedName>
    <definedName name="_82___________________________________________________________________________________________________________________________________Excel_BuiltIn_Print_Area_2_1" localSheetId="3">#REF!</definedName>
    <definedName name="_82___________________________________________________________________________________________________________________________________Excel_BuiltIn_Print_Area_2_1">#REF!</definedName>
    <definedName name="_82_____________Excel_BuiltIn_Print_Area_2_1" localSheetId="1">#REF!</definedName>
    <definedName name="_82_____________Excel_BuiltIn_Print_Area_2_1" localSheetId="3">#REF!</definedName>
    <definedName name="_82_____________Excel_BuiltIn_Print_Area_2_1">#REF!</definedName>
    <definedName name="_83____________Excel_BuiltIn_Print_Area_2_1" localSheetId="1">#REF!</definedName>
    <definedName name="_83____________Excel_BuiltIn_Print_Area_2_1" localSheetId="3">#REF!</definedName>
    <definedName name="_83____________Excel_BuiltIn_Print_Area_2_1">#REF!</definedName>
    <definedName name="_84_____________________________________________________________________________________________________________________________________________________________________________________Excel_BuiltIn_Print_Area_2_1" localSheetId="1">#REF!</definedName>
    <definedName name="_84_____________________________________________________________________________________________________________________________________________________________________________________Excel_BuiltIn_Print_Area_2_1" localSheetId="3">#REF!</definedName>
    <definedName name="_84_____________________________________________________________________________________________________________________________________________________________________________________Excel_BuiltIn_Print_Area_2_1">#REF!</definedName>
    <definedName name="_84__________________________________________________________________________________________________________________________________Excel_BuiltIn_Print_Area_2_1" localSheetId="1">#REF!</definedName>
    <definedName name="_84__________________________________________________________________________________________________________________________________Excel_BuiltIn_Print_Area_2_1" localSheetId="3">#REF!</definedName>
    <definedName name="_84__________________________________________________________________________________________________________________________________Excel_BuiltIn_Print_Area_2_1">#REF!</definedName>
    <definedName name="_84___________Excel_BuiltIn_Print_Area_2_1" localSheetId="1">#REF!</definedName>
    <definedName name="_84___________Excel_BuiltIn_Print_Area_2_1" localSheetId="3">#REF!</definedName>
    <definedName name="_84___________Excel_BuiltIn_Print_Area_2_1">#REF!</definedName>
    <definedName name="_85_______Excel_BuiltIn_Print_Area_2_1" localSheetId="1">#REF!</definedName>
    <definedName name="_85_______Excel_BuiltIn_Print_Area_2_1" localSheetId="3">#REF!</definedName>
    <definedName name="_85_______Excel_BuiltIn_Print_Area_2_1">#REF!</definedName>
    <definedName name="_86________________________________________________________________________________________________________________________________Excel_BuiltIn_Print_Area_2_1" localSheetId="1">#REF!</definedName>
    <definedName name="_86________________________________________________________________________________________________________________________________Excel_BuiltIn_Print_Area_2_1" localSheetId="3">#REF!</definedName>
    <definedName name="_86________________________________________________________________________________________________________________________________Excel_BuiltIn_Print_Area_2_1">#REF!</definedName>
    <definedName name="_87____________________________________________________________________________________________________________________________________________________________________________________Excel_BuiltIn_Print_Area_2_1" localSheetId="1">#REF!</definedName>
    <definedName name="_87____________________________________________________________________________________________________________________________________________________________________________________Excel_BuiltIn_Print_Area_2_1" localSheetId="3">#REF!</definedName>
    <definedName name="_87____________________________________________________________________________________________________________________________________________________________________________________Excel_BuiltIn_Print_Area_2_1">#REF!</definedName>
    <definedName name="_88______________________________________________________________________________________________________________________________Excel_BuiltIn_Print_Area_2_1" localSheetId="1">#REF!</definedName>
    <definedName name="_88______________________________________________________________________________________________________________________________Excel_BuiltIn_Print_Area_2_1" localSheetId="3">#REF!</definedName>
    <definedName name="_88______________________________________________________________________________________________________________________________Excel_BuiltIn_Print_Area_2_1">#REF!</definedName>
    <definedName name="_9___________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9___________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9___________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9____________________________________________________________________________________________________________________________________________________________________________________________________________________Excel_BuiltIn_Print_Area_2_1" localSheetId="1">#REF!</definedName>
    <definedName name="_9____________________________________________________________________________________________________________________________________________________________________________________________________________________Excel_BuiltIn_Print_Area_2_1" localSheetId="3">#REF!</definedName>
    <definedName name="_9____________________________________________________________________________________________________________________________________________________________________________________________________________________Excel_BuiltIn_Print_Area_2_1">#REF!</definedName>
    <definedName name="_90___________________________________________________________________________________________________________________________________________________________________________________Excel_BuiltIn_Print_Area_2_1" localSheetId="1">#REF!</definedName>
    <definedName name="_90___________________________________________________________________________________________________________________________________________________________________________________Excel_BuiltIn_Print_Area_2_1" localSheetId="3">#REF!</definedName>
    <definedName name="_90___________________________________________________________________________________________________________________________________________________________________________________Excel_BuiltIn_Print_Area_2_1">#REF!</definedName>
    <definedName name="_90_____________________________________________________________________________________________________________________________Excel_BuiltIn_Print_Area_2_1" localSheetId="1">#REF!</definedName>
    <definedName name="_90_____________________________________________________________________________________________________________________________Excel_BuiltIn_Print_Area_2_1" localSheetId="3">#REF!</definedName>
    <definedName name="_90_____________________________________________________________________________________________________________________________Excel_BuiltIn_Print_Area_2_1">#REF!</definedName>
    <definedName name="_92____________________________________________________________________________________________________________________________Excel_BuiltIn_Print_Area_2_1" localSheetId="1">#REF!</definedName>
    <definedName name="_92____________________________________________________________________________________________________________________________Excel_BuiltIn_Print_Area_2_1" localSheetId="3">#REF!</definedName>
    <definedName name="_92____________________________________________________________________________________________________________________________Excel_BuiltIn_Print_Area_2_1">#REF!</definedName>
    <definedName name="_93__________________________________________________________________________________________________________________________________________________________________________________Excel_BuiltIn_Print_Area_2_1" localSheetId="1">#REF!</definedName>
    <definedName name="_93__________________________________________________________________________________________________________________________________________________________________________________Excel_BuiltIn_Print_Area_2_1" localSheetId="3">#REF!</definedName>
    <definedName name="_93__________________________________________________________________________________________________________________________________________________________________________________Excel_BuiltIn_Print_Area_2_1">#REF!</definedName>
    <definedName name="_94__________________________________________________________________________________________________________________________Excel_BuiltIn_Print_Area_2_1" localSheetId="1">#REF!</definedName>
    <definedName name="_94__________________________________________________________________________________________________________________________Excel_BuiltIn_Print_Area_2_1" localSheetId="3">#REF!</definedName>
    <definedName name="_94__________________________________________________________________________________________________________________________Excel_BuiltIn_Print_Area_2_1">#REF!</definedName>
    <definedName name="_96_________________________________________________________________________________________________________________________________________________________________________________Excel_BuiltIn_Print_Area_2_1" localSheetId="1">#REF!</definedName>
    <definedName name="_96_________________________________________________________________________________________________________________________________________________________________________________Excel_BuiltIn_Print_Area_2_1" localSheetId="3">#REF!</definedName>
    <definedName name="_96_________________________________________________________________________________________________________________________________________________________________________________Excel_BuiltIn_Print_Area_2_1">#REF!</definedName>
    <definedName name="_96________________________________________________________________________________________________________________________Excel_BuiltIn_Print_Area_2_1" localSheetId="1">#REF!</definedName>
    <definedName name="_96________________________________________________________________________________________________________________________Excel_BuiltIn_Print_Area_2_1" localSheetId="3">#REF!</definedName>
    <definedName name="_96________________________________________________________________________________________________________________________Excel_BuiltIn_Print_Area_2_1">#REF!</definedName>
    <definedName name="_98______________________________________________________________________________________________________________________Excel_BuiltIn_Print_Area_2_1" localSheetId="1">#REF!</definedName>
    <definedName name="_98______________________________________________________________________________________________________________________Excel_BuiltIn_Print_Area_2_1" localSheetId="3">#REF!</definedName>
    <definedName name="_98______________________________________________________________________________________________________________________Excel_BuiltIn_Print_Area_2_1">#REF!</definedName>
    <definedName name="_99_______________________________________________________________________________________________________________________________________________________________________________Excel_BuiltIn_Print_Area_2_1" localSheetId="1">#REF!</definedName>
    <definedName name="_99_______________________________________________________________________________________________________________________________________________________________________________Excel_BuiltIn_Print_Area_2_1" localSheetId="3">#REF!</definedName>
    <definedName name="_99_______________________________________________________________________________________________________________________________________________________________________________Excel_BuiltIn_Print_Area_2_1">#REF!</definedName>
    <definedName name="_ap1">#REF!</definedName>
    <definedName name="_xlnm._FilterDatabase" localSheetId="1" hidden="1">'Plasma I 01'!$B$1:$O$156</definedName>
    <definedName name="_xlnm._FilterDatabase" localSheetId="3" hidden="1">'Plasma II 01'!$D$1:$Q$125</definedName>
    <definedName name="_mf5" localSheetId="1">#REF!</definedName>
    <definedName name="_mf5" localSheetId="3">#REF!</definedName>
    <definedName name="_mf5">#REF!</definedName>
    <definedName name="_mf6" localSheetId="1">#REF!</definedName>
    <definedName name="_mf6" localSheetId="3">#REF!</definedName>
    <definedName name="_mf6">#REF!</definedName>
    <definedName name="_pc200">#REF!</definedName>
    <definedName name="_PRO1" localSheetId="1">#REF!</definedName>
    <definedName name="_PRO1" localSheetId="3">#REF!</definedName>
    <definedName name="_PRO1">#REF!</definedName>
    <definedName name="_PRO2" localSheetId="1">#REF!</definedName>
    <definedName name="_PRO2" localSheetId="3">#REF!</definedName>
    <definedName name="_PRO2">#REF!</definedName>
    <definedName name="_PRO3" localSheetId="1">#REF!</definedName>
    <definedName name="_PRO3" localSheetId="3">#REF!</definedName>
    <definedName name="_PRO3">#REF!</definedName>
    <definedName name="_PRO4" localSheetId="1">#REF!</definedName>
    <definedName name="_PRO4" localSheetId="3">#REF!</definedName>
    <definedName name="_PRO4">#REF!</definedName>
    <definedName name="_PRO5" localSheetId="1">#REF!</definedName>
    <definedName name="_PRO5" localSheetId="3">#REF!</definedName>
    <definedName name="_PRO5">#REF!</definedName>
    <definedName name="_PRO6" localSheetId="1">#REF!</definedName>
    <definedName name="_PRO6" localSheetId="3">#REF!</definedName>
    <definedName name="_PRO6">#REF!</definedName>
    <definedName name="_RUM1">#REF!</definedName>
    <definedName name="_RUM2">#REF!</definedName>
    <definedName name="_RUM3">#REF!</definedName>
    <definedName name="_RUM4">#REF!</definedName>
    <definedName name="_RUM5">#REF!</definedName>
    <definedName name="_RUM6">#REF!</definedName>
    <definedName name="a" localSheetId="1">#REF!</definedName>
    <definedName name="a" localSheetId="3">#REF!</definedName>
    <definedName name="a">#REF!</definedName>
    <definedName name="aaaa" localSheetId="1">#REF!</definedName>
    <definedName name="aaaa" localSheetId="3">#REF!</definedName>
    <definedName name="aaaa">#REF!</definedName>
    <definedName name="aacs" localSheetId="1">#REF!</definedName>
    <definedName name="aacs" localSheetId="3">#REF!</definedName>
    <definedName name="aacs">#REF!</definedName>
    <definedName name="abas">#REF!</definedName>
    <definedName name="ad" localSheetId="1">#REF!</definedName>
    <definedName name="ad" localSheetId="3">#REF!</definedName>
    <definedName name="ad">#REF!</definedName>
    <definedName name="ADFASF" localSheetId="1">#REF!</definedName>
    <definedName name="ADFASF" localSheetId="3">#REF!</definedName>
    <definedName name="ADFASF">#REF!</definedName>
    <definedName name="AFASG" localSheetId="1">#REF!</definedName>
    <definedName name="AFASG" localSheetId="3">#REF!</definedName>
    <definedName name="AFASG">#REF!</definedName>
    <definedName name="AFF" localSheetId="1">#REF!</definedName>
    <definedName name="AFF" localSheetId="3">#REF!</definedName>
    <definedName name="AFF">#REF!</definedName>
    <definedName name="ag">#REF!</definedName>
    <definedName name="Agrister">#REF!</definedName>
    <definedName name="agus">#REF!</definedName>
    <definedName name="AJT" localSheetId="1">#REF!</definedName>
    <definedName name="AJT" localSheetId="3">#REF!</definedName>
    <definedName name="AJT">#REF!</definedName>
    <definedName name="AJTYJ" localSheetId="1">#REF!</definedName>
    <definedName name="AJTYJ" localSheetId="3">#REF!</definedName>
    <definedName name="AJTYJ">#REF!</definedName>
    <definedName name="AJUER" localSheetId="1">#REF!</definedName>
    <definedName name="AJUER" localSheetId="3">#REF!</definedName>
    <definedName name="AJUER">#REF!</definedName>
    <definedName name="akhir">#REF!</definedName>
    <definedName name="AKI_GS_ASTRA_100_AH___ISI" localSheetId="1">#REF!</definedName>
    <definedName name="AKI_GS_ASTRA_100_AH___ISI" localSheetId="3">#REF!</definedName>
    <definedName name="AKI_GS_ASTRA_100_AH___ISI">#REF!</definedName>
    <definedName name="ALM_PERS">#REF!</definedName>
    <definedName name="Angkong">#REF!</definedName>
    <definedName name="any">#REF!</definedName>
    <definedName name="ap">#REF!</definedName>
    <definedName name="app">#REF!</definedName>
    <definedName name="arp">#REF!</definedName>
    <definedName name="arpani">#REF!</definedName>
    <definedName name="as">#REF!</definedName>
    <definedName name="asd" localSheetId="1">#REF!</definedName>
    <definedName name="asd" localSheetId="3">#REF!</definedName>
    <definedName name="asd">#REF!</definedName>
    <definedName name="ASFAS" localSheetId="1">#REF!</definedName>
    <definedName name="ASFAS" localSheetId="3">#REF!</definedName>
    <definedName name="ASFAS">#REF!</definedName>
    <definedName name="asheet">#REF!</definedName>
    <definedName name="AST">#REF!</definedName>
    <definedName name="BAHAN" localSheetId="1">#REF!</definedName>
    <definedName name="BAHAN" localSheetId="3">#REF!</definedName>
    <definedName name="BAHAN">#REF!</definedName>
    <definedName name="BATU_ASAH" localSheetId="1">#REF!</definedName>
    <definedName name="BATU_ASAH" localSheetId="3">#REF!</definedName>
    <definedName name="BATU_ASAH">#REF!</definedName>
    <definedName name="bbb" localSheetId="1">#REF!</definedName>
    <definedName name="bbb" localSheetId="3">#REF!</definedName>
    <definedName name="bbb">#REF!</definedName>
    <definedName name="BE" localSheetId="1">#REF!</definedName>
    <definedName name="BE" localSheetId="3">#REF!</definedName>
    <definedName name="BE">#REF!</definedName>
    <definedName name="bensin">#REF!</definedName>
    <definedName name="BHRG" localSheetId="1">#REF!</definedName>
    <definedName name="BHRG" localSheetId="3">#REF!</definedName>
    <definedName name="BHRG">#REF!</definedName>
    <definedName name="Bimastar">#REF!</definedName>
    <definedName name="borat">#REF!</definedName>
    <definedName name="Borate">#REF!</definedName>
    <definedName name="bulan" localSheetId="1">#REF!</definedName>
    <definedName name="bulan" localSheetId="3">#REF!</definedName>
    <definedName name="bulan">#REF!</definedName>
    <definedName name="BULANKU">#REF!</definedName>
    <definedName name="cat">#REF!</definedName>
    <definedName name="Cat_Besi">#REF!</definedName>
    <definedName name="Collar">#REF!</definedName>
    <definedName name="csc" localSheetId="1">#REF!</definedName>
    <definedName name="csc" localSheetId="3">#REF!</definedName>
    <definedName name="csc">#REF!</definedName>
    <definedName name="CVC" localSheetId="1">#REF!</definedName>
    <definedName name="CVC" localSheetId="3">#REF!</definedName>
    <definedName name="CVC">#REF!</definedName>
    <definedName name="d70le">#REF!</definedName>
    <definedName name="darsono">#REF!</definedName>
    <definedName name="DATA">#REF!</definedName>
    <definedName name="_xlnm.Database">#REF!</definedName>
    <definedName name="databln">#REF!</definedName>
    <definedName name="dataku">#REF!</definedName>
    <definedName name="DATAKU12">#REF!</definedName>
    <definedName name="datatkk1">#REF!</definedName>
    <definedName name="DDS" localSheetId="1">#REF!</definedName>
    <definedName name="DDS" localSheetId="3">#REF!</definedName>
    <definedName name="DDS">#REF!</definedName>
    <definedName name="desin">#REF!</definedName>
    <definedName name="desis">#REF!</definedName>
    <definedName name="DFHJXJ" localSheetId="1">#REF!</definedName>
    <definedName name="DFHJXJ" localSheetId="3">#REF!</definedName>
    <definedName name="DFHJXJ">#REF!</definedName>
    <definedName name="DFJCFJ" localSheetId="1">#REF!</definedName>
    <definedName name="DFJCFJ" localSheetId="3">#REF!</definedName>
    <definedName name="DFJCFJ">#REF!</definedName>
    <definedName name="DFJF" localSheetId="1">#REF!</definedName>
    <definedName name="DFJF" localSheetId="3">#REF!</definedName>
    <definedName name="DFJF">#REF!</definedName>
    <definedName name="DFJUFJ" localSheetId="1">#REF!</definedName>
    <definedName name="DFJUFJ" localSheetId="3">#REF!</definedName>
    <definedName name="DFJUFJ">#REF!</definedName>
    <definedName name="dfndfn" localSheetId="1">#REF!</definedName>
    <definedName name="dfndfn" localSheetId="3">#REF!</definedName>
    <definedName name="dfndfn">#REF!</definedName>
    <definedName name="dfndn" localSheetId="1">#REF!</definedName>
    <definedName name="dfndn" localSheetId="3">#REF!</definedName>
    <definedName name="dfndn">#REF!</definedName>
    <definedName name="dfntn" localSheetId="1">#REF!</definedName>
    <definedName name="dfntn" localSheetId="3">#REF!</definedName>
    <definedName name="dfntn">#REF!</definedName>
    <definedName name="DGD" localSheetId="1">#REF!</definedName>
    <definedName name="DGD" localSheetId="3">#REF!</definedName>
    <definedName name="DGD">#REF!</definedName>
    <definedName name="DGDGD" localSheetId="1">#REF!</definedName>
    <definedName name="DGDGD" localSheetId="3">#REF!</definedName>
    <definedName name="DGDGD">#REF!</definedName>
    <definedName name="DGEG" localSheetId="1">#REF!</definedName>
    <definedName name="DGEG" localSheetId="3">#REF!</definedName>
    <definedName name="DGEG">#REF!</definedName>
    <definedName name="DGS" localSheetId="1">#REF!</definedName>
    <definedName name="DGS" localSheetId="3">#REF!</definedName>
    <definedName name="DGS">#REF!</definedName>
    <definedName name="DGZ" localSheetId="1">#REF!</definedName>
    <definedName name="DGZ" localSheetId="3">#REF!</definedName>
    <definedName name="DGZ">#REF!</definedName>
    <definedName name="DGZDG" localSheetId="1">#REF!</definedName>
    <definedName name="DGZDG" localSheetId="3">#REF!</definedName>
    <definedName name="DGZDG">#REF!</definedName>
    <definedName name="Div" localSheetId="1">#REF!</definedName>
    <definedName name="Div" localSheetId="3">#REF!</definedName>
    <definedName name="Div">#REF!</definedName>
    <definedName name="Dodos">#REF!</definedName>
    <definedName name="Dolomite">#REF!</definedName>
    <definedName name="DS" localSheetId="1">#REF!</definedName>
    <definedName name="DS" localSheetId="3">#REF!</definedName>
    <definedName name="DS">#REF!</definedName>
    <definedName name="dsd" localSheetId="1">#REF!</definedName>
    <definedName name="dsd" localSheetId="3">#REF!</definedName>
    <definedName name="dsd">#REF!</definedName>
    <definedName name="DTUKUI" localSheetId="1">#REF!</definedName>
    <definedName name="DTUKUI" localSheetId="3">#REF!</definedName>
    <definedName name="DTUKUI">#REF!</definedName>
    <definedName name="DTYK" localSheetId="1">#REF!</definedName>
    <definedName name="DTYK" localSheetId="3">#REF!</definedName>
    <definedName name="DTYK">#REF!</definedName>
    <definedName name="DVDS" localSheetId="1">#REF!</definedName>
    <definedName name="DVDS" localSheetId="3">#REF!</definedName>
    <definedName name="DVDS">#REF!</definedName>
    <definedName name="dvsv" localSheetId="1">#REF!</definedName>
    <definedName name="dvsv" localSheetId="3">#REF!</definedName>
    <definedName name="dvsv">#REF!</definedName>
    <definedName name="DWE" localSheetId="1">#REF!</definedName>
    <definedName name="DWE" localSheetId="3">#REF!</definedName>
    <definedName name="DWE">#REF!</definedName>
    <definedName name="EAW" localSheetId="1">#REF!</definedName>
    <definedName name="EAW" localSheetId="3">#REF!</definedName>
    <definedName name="EAW">#REF!</definedName>
    <definedName name="ef" localSheetId="1">#REF!</definedName>
    <definedName name="ef" localSheetId="3">#REF!</definedName>
    <definedName name="ef">#REF!</definedName>
    <definedName name="EFE" localSheetId="1">#REF!</definedName>
    <definedName name="EFE" localSheetId="3">#REF!</definedName>
    <definedName name="EFE">#REF!</definedName>
    <definedName name="EG" localSheetId="1">#REF!</definedName>
    <definedName name="EG" localSheetId="3">#REF!</definedName>
    <definedName name="EG">#REF!</definedName>
    <definedName name="EGG" localSheetId="1">#REF!</definedName>
    <definedName name="EGG" localSheetId="3">#REF!</definedName>
    <definedName name="EGG">#REF!</definedName>
    <definedName name="Egrek">#REF!</definedName>
    <definedName name="EGRH" localSheetId="1">#REF!</definedName>
    <definedName name="EGRH" localSheetId="3">#REF!</definedName>
    <definedName name="EGRH">#REF!</definedName>
    <definedName name="Ember">#REF!</definedName>
    <definedName name="er" localSheetId="1">#REF!</definedName>
    <definedName name="er" localSheetId="3">#REF!</definedName>
    <definedName name="er">#REF!</definedName>
    <definedName name="ERY" localSheetId="1">#REF!</definedName>
    <definedName name="ERY" localSheetId="3">#REF!</definedName>
    <definedName name="ERY">#REF!</definedName>
    <definedName name="ETA" localSheetId="1">#REF!</definedName>
    <definedName name="ETA" localSheetId="3">#REF!</definedName>
    <definedName name="ETA">#REF!</definedName>
    <definedName name="etgew" localSheetId="1">#REF!</definedName>
    <definedName name="etgew" localSheetId="3">#REF!</definedName>
    <definedName name="etgew">#REF!</definedName>
    <definedName name="EWA" localSheetId="1">#REF!</definedName>
    <definedName name="EWA" localSheetId="3">#REF!</definedName>
    <definedName name="EWA">#REF!</definedName>
    <definedName name="Excel_BuiltIn_Database_0" localSheetId="1">#REF!</definedName>
    <definedName name="Excel_BuiltIn_Database_0" localSheetId="3">#REF!</definedName>
    <definedName name="Excel_BuiltIn_Database_0">#REF!</definedName>
    <definedName name="Excel_BuiltIn_Print_Area_1_1">NA()</definedName>
    <definedName name="Excel_BuiltIn_Print_Area_12_1">NA()</definedName>
    <definedName name="Excel_BuiltIn_Print_Area_13_1">NA()</definedName>
    <definedName name="Excel_BuiltIn_Print_Area_14_1">NA()</definedName>
    <definedName name="Excel_BuiltIn_Print_Area_15_1">NA()</definedName>
    <definedName name="Excel_BuiltIn_Print_Area_16_1">NA()</definedName>
    <definedName name="Excel_BuiltIn_Print_Area_18_1">NA()</definedName>
    <definedName name="Excel_BuiltIn_Print_Area_4_1" localSheetId="1">#REF!</definedName>
    <definedName name="Excel_BuiltIn_Print_Area_4_1" localSheetId="3">#REF!</definedName>
    <definedName name="Excel_BuiltIn_Print_Area_4_1">#REF!</definedName>
    <definedName name="Excel_BuiltIn_Print_Area_6_1" localSheetId="1">#REF!</definedName>
    <definedName name="Excel_BuiltIn_Print_Area_6_1" localSheetId="3">#REF!</definedName>
    <definedName name="Excel_BuiltIn_Print_Area_6_1">#REF!</definedName>
    <definedName name="faag">#REF!</definedName>
    <definedName name="fd" localSheetId="1">#REF!</definedName>
    <definedName name="fd" localSheetId="3">#REF!</definedName>
    <definedName name="fd">#REF!</definedName>
    <definedName name="Feromon">#REF!</definedName>
    <definedName name="FEROMONAS">#REF!</definedName>
    <definedName name="fghjf" localSheetId="1">#REF!</definedName>
    <definedName name="fghjf" localSheetId="3">#REF!</definedName>
    <definedName name="fghjf">#REF!</definedName>
    <definedName name="FGK" localSheetId="1">#REF!</definedName>
    <definedName name="FGK" localSheetId="3">#REF!</definedName>
    <definedName name="FGK">#REF!</definedName>
    <definedName name="FGKG" localSheetId="1">#REF!</definedName>
    <definedName name="FGKG" localSheetId="3">#REF!</definedName>
    <definedName name="FGKG">#REF!</definedName>
    <definedName name="FGKGK" localSheetId="1">#REF!</definedName>
    <definedName name="FGKGK" localSheetId="3">#REF!</definedName>
    <definedName name="FGKGK">#REF!</definedName>
    <definedName name="FGKHK" localSheetId="1">#REF!</definedName>
    <definedName name="FGKHK" localSheetId="3">#REF!</definedName>
    <definedName name="FGKHK">#REF!</definedName>
    <definedName name="fgnfgn" localSheetId="1">#REF!</definedName>
    <definedName name="fgnfgn" localSheetId="3">#REF!</definedName>
    <definedName name="fgnfgn">#REF!</definedName>
    <definedName name="FHF" localSheetId="1">#REF!</definedName>
    <definedName name="FHF" localSheetId="3">#REF!</definedName>
    <definedName name="FHF">#REF!</definedName>
    <definedName name="FHFH" localSheetId="1">#REF!</definedName>
    <definedName name="FHFH" localSheetId="3">#REF!</definedName>
    <definedName name="FHFH">#REF!</definedName>
    <definedName name="FHGDFG" localSheetId="1">#REF!</definedName>
    <definedName name="FHGDFG" localSheetId="3">#REF!</definedName>
    <definedName name="FHGDFG">#REF!</definedName>
    <definedName name="FJF" localSheetId="1">#REF!</definedName>
    <definedName name="FJF" localSheetId="3">#REF!</definedName>
    <definedName name="FJF">#REF!</definedName>
    <definedName name="FJGF" localSheetId="1">#REF!</definedName>
    <definedName name="FJGF" localSheetId="3">#REF!</definedName>
    <definedName name="FJGF">#REF!</definedName>
    <definedName name="FJGFJ" localSheetId="1">#REF!</definedName>
    <definedName name="FJGFJ" localSheetId="3">#REF!</definedName>
    <definedName name="FJGFJ">#REF!</definedName>
    <definedName name="FJUDFJU" localSheetId="1">#REF!</definedName>
    <definedName name="FJUDFJU" localSheetId="3">#REF!</definedName>
    <definedName name="FJUDFJU">#REF!</definedName>
    <definedName name="FJUF" localSheetId="1">#REF!</definedName>
    <definedName name="FJUF" localSheetId="3">#REF!</definedName>
    <definedName name="FJUF">#REF!</definedName>
    <definedName name="FJX" localSheetId="1">#REF!</definedName>
    <definedName name="FJX" localSheetId="3">#REF!</definedName>
    <definedName name="FJX">#REF!</definedName>
    <definedName name="FK" localSheetId="1">#REF!</definedName>
    <definedName name="FK" localSheetId="3">#REF!</definedName>
    <definedName name="FK">#REF!</definedName>
    <definedName name="ford" localSheetId="1">#REF!</definedName>
    <definedName name="ford" localSheetId="3">#REF!</definedName>
    <definedName name="ford">#REF!</definedName>
    <definedName name="G" localSheetId="1">#REF!</definedName>
    <definedName name="G" localSheetId="3">#REF!</definedName>
    <definedName name="G">#REF!</definedName>
    <definedName name="G2P">#REF!</definedName>
    <definedName name="G2P_">#REF!</definedName>
    <definedName name="Gancu">#REF!</definedName>
    <definedName name="GCGXGC" localSheetId="1">#REF!</definedName>
    <definedName name="GCGXGC" localSheetId="3">#REF!</definedName>
    <definedName name="GCGXGC">#REF!</definedName>
    <definedName name="gdb" localSheetId="1">#REF!</definedName>
    <definedName name="gdb" localSheetId="3">#REF!</definedName>
    <definedName name="gdb">#REF!</definedName>
    <definedName name="gde" localSheetId="1">#REF!</definedName>
    <definedName name="gde" localSheetId="3">#REF!</definedName>
    <definedName name="gde">#REF!</definedName>
    <definedName name="GETG" localSheetId="1">#REF!</definedName>
    <definedName name="GETG" localSheetId="3">#REF!</definedName>
    <definedName name="GETG">#REF!</definedName>
    <definedName name="GFHFGJH" localSheetId="1">#REF!</definedName>
    <definedName name="GFHFGJH" localSheetId="3">#REF!</definedName>
    <definedName name="GFHFGJH">#REF!</definedName>
    <definedName name="GFK" localSheetId="1">#REF!</definedName>
    <definedName name="GFK" localSheetId="3">#REF!</definedName>
    <definedName name="GFK">#REF!</definedName>
    <definedName name="GFKGFK" localSheetId="1">#REF!</definedName>
    <definedName name="GFKGFK" localSheetId="3">#REF!</definedName>
    <definedName name="GFKGFK">#REF!</definedName>
    <definedName name="GFKI" localSheetId="1">#REF!</definedName>
    <definedName name="GFKI" localSheetId="3">#REF!</definedName>
    <definedName name="GFKI">#REF!</definedName>
    <definedName name="gGE" localSheetId="1">#REF!</definedName>
    <definedName name="gGE" localSheetId="3">#REF!</definedName>
    <definedName name="gGE">#REF!</definedName>
    <definedName name="GHI" localSheetId="1">#REF!</definedName>
    <definedName name="GHI" localSheetId="3">#REF!</definedName>
    <definedName name="GHI">#REF!</definedName>
    <definedName name="GHJVG" localSheetId="1">#REF!</definedName>
    <definedName name="GHJVG" localSheetId="3">#REF!</definedName>
    <definedName name="GHJVG">#REF!</definedName>
    <definedName name="GHK" localSheetId="1">#REF!</definedName>
    <definedName name="GHK" localSheetId="3">#REF!</definedName>
    <definedName name="GHK">#REF!</definedName>
    <definedName name="GHKGFK" localSheetId="1">#REF!</definedName>
    <definedName name="GHKGFK" localSheetId="3">#REF!</definedName>
    <definedName name="GHKGFK">#REF!</definedName>
    <definedName name="GK" localSheetId="1">#REF!</definedName>
    <definedName name="GK" localSheetId="3">#REF!</definedName>
    <definedName name="GK">#REF!</definedName>
    <definedName name="GKG" localSheetId="1">#REF!</definedName>
    <definedName name="GKG" localSheetId="3">#REF!</definedName>
    <definedName name="GKG">#REF!</definedName>
    <definedName name="GKGHK" localSheetId="1">#REF!</definedName>
    <definedName name="GKGHK" localSheetId="3">#REF!</definedName>
    <definedName name="GKGHK">#REF!</definedName>
    <definedName name="GKGK" localSheetId="1">#REF!</definedName>
    <definedName name="GKGK" localSheetId="3">#REF!</definedName>
    <definedName name="GKGK">#REF!</definedName>
    <definedName name="GKYGHK" localSheetId="1">#REF!</definedName>
    <definedName name="GKYGHK" localSheetId="3">#REF!</definedName>
    <definedName name="GKYGHK">#REF!</definedName>
    <definedName name="GKYGHLK" localSheetId="1">#REF!</definedName>
    <definedName name="GKYGHLK" localSheetId="3">#REF!</definedName>
    <definedName name="GKYGHLK">#REF!</definedName>
    <definedName name="glifosat">#REF!</definedName>
    <definedName name="gnf" localSheetId="1">#REF!</definedName>
    <definedName name="gnf" localSheetId="3">#REF!</definedName>
    <definedName name="gnf">#REF!</definedName>
    <definedName name="gnfg" localSheetId="1">#REF!</definedName>
    <definedName name="gnfg" localSheetId="3">#REF!</definedName>
    <definedName name="gnfg">#REF!</definedName>
    <definedName name="gnfgn" localSheetId="1">#REF!</definedName>
    <definedName name="gnfgn" localSheetId="3">#REF!</definedName>
    <definedName name="gnfgn">#REF!</definedName>
    <definedName name="gngn" localSheetId="1">#REF!</definedName>
    <definedName name="gngn" localSheetId="3">#REF!</definedName>
    <definedName name="gngn">#REF!</definedName>
    <definedName name="gorongs" localSheetId="1">#REF!</definedName>
    <definedName name="gorongs" localSheetId="3">#REF!</definedName>
    <definedName name="gorongs">#REF!</definedName>
    <definedName name="GP">#REF!</definedName>
    <definedName name="gpp" localSheetId="1">#REF!</definedName>
    <definedName name="gpp" localSheetId="3">#REF!</definedName>
    <definedName name="gpp">#REF!</definedName>
    <definedName name="gppa" localSheetId="1">#REF!</definedName>
    <definedName name="gppa" localSheetId="3">#REF!</definedName>
    <definedName name="gppa">#REF!</definedName>
    <definedName name="Granuler">#REF!</definedName>
    <definedName name="GRM" localSheetId="1">#REF!</definedName>
    <definedName name="GRM" localSheetId="3">#REF!</definedName>
    <definedName name="GRM">#REF!</definedName>
    <definedName name="gsdvgw">#REF!</definedName>
    <definedName name="hadi">#REF!</definedName>
    <definedName name="hamsan">#REF!</definedName>
    <definedName name="HDGFH" localSheetId="1">#REF!</definedName>
    <definedName name="HDGFH" localSheetId="3">#REF!</definedName>
    <definedName name="HDGFH">#REF!</definedName>
    <definedName name="HFH" localSheetId="1">#REF!</definedName>
    <definedName name="HFH" localSheetId="3">#REF!</definedName>
    <definedName name="HFH">#REF!</definedName>
    <definedName name="hg" localSheetId="1">#REF!</definedName>
    <definedName name="hg" localSheetId="3">#REF!</definedName>
    <definedName name="hg">#REF!</definedName>
    <definedName name="HJK" localSheetId="1">#REF!</definedName>
    <definedName name="HJK" localSheetId="3">#REF!</definedName>
    <definedName name="HJK">#REF!</definedName>
    <definedName name="HKG" localSheetId="1">#REF!</definedName>
    <definedName name="HKG" localSheetId="3">#REF!</definedName>
    <definedName name="HKG">#REF!</definedName>
    <definedName name="HKH" localSheetId="1">#REF!</definedName>
    <definedName name="HKH" localSheetId="3">#REF!</definedName>
    <definedName name="HKH">#REF!</definedName>
    <definedName name="hmg" localSheetId="1">#REF!</definedName>
    <definedName name="hmg" localSheetId="3">#REF!</definedName>
    <definedName name="hmg">#REF!</definedName>
    <definedName name="hmy" localSheetId="1">#REF!</definedName>
    <definedName name="hmy" localSheetId="3">#REF!</definedName>
    <definedName name="hmy">#REF!</definedName>
    <definedName name="htf" localSheetId="1">#REF!</definedName>
    <definedName name="htf" localSheetId="3">#REF!</definedName>
    <definedName name="htf">#REF!</definedName>
    <definedName name="husin">#REF!</definedName>
    <definedName name="I">#REF!</definedName>
    <definedName name="IA">#REF!</definedName>
    <definedName name="IB">#REF!</definedName>
    <definedName name="IIA">#REF!</definedName>
    <definedName name="IIB">#REF!</definedName>
    <definedName name="IIIA">#REF!</definedName>
    <definedName name="IIIB">#REF!</definedName>
    <definedName name="IIIC">#REF!</definedName>
    <definedName name="IIIP">#REF!</definedName>
    <definedName name="IIP">#REF!</definedName>
    <definedName name="inputbln" localSheetId="1">#REF!</definedName>
    <definedName name="inputbln" localSheetId="3">#REF!</definedName>
    <definedName name="inputbln">#REF!</definedName>
    <definedName name="IP">#REF!</definedName>
    <definedName name="isun">#REF!</definedName>
    <definedName name="IURAN">#REF!</definedName>
    <definedName name="jaman">#REF!</definedName>
    <definedName name="jb" localSheetId="1">#REF!</definedName>
    <definedName name="jb" localSheetId="3">#REF!</definedName>
    <definedName name="jb">#REF!</definedName>
    <definedName name="JENENG">#REF!</definedName>
    <definedName name="jeneng1cku">#REF!</definedName>
    <definedName name="JGF" localSheetId="1">#REF!</definedName>
    <definedName name="JGF" localSheetId="3">#REF!</definedName>
    <definedName name="JGF">#REF!</definedName>
    <definedName name="JGG" localSheetId="1">#REF!</definedName>
    <definedName name="JGG" localSheetId="3">#REF!</definedName>
    <definedName name="JGG">#REF!</definedName>
    <definedName name="JGJ" localSheetId="1">#REF!</definedName>
    <definedName name="JGJ" localSheetId="3">#REF!</definedName>
    <definedName name="JGJ">#REF!</definedName>
    <definedName name="JGJK" localSheetId="1">#REF!</definedName>
    <definedName name="JGJK" localSheetId="3">#REF!</definedName>
    <definedName name="JGJK">#REF!</definedName>
    <definedName name="JJHJ" localSheetId="1">#REF!</definedName>
    <definedName name="JJHJ" localSheetId="3">#REF!</definedName>
    <definedName name="JJHJ">#REF!</definedName>
    <definedName name="JLHJ" localSheetId="1">#REF!</definedName>
    <definedName name="JLHJ" localSheetId="3">#REF!</definedName>
    <definedName name="JLHJ">#REF!</definedName>
    <definedName name="jrnj" localSheetId="1">#REF!</definedName>
    <definedName name="jrnj" localSheetId="3">#REF!</definedName>
    <definedName name="jrnj">#REF!</definedName>
    <definedName name="jum" localSheetId="1">#REF!</definedName>
    <definedName name="jum" localSheetId="3">#REF!</definedName>
    <definedName name="jum">#REF!</definedName>
    <definedName name="juri">#REF!</definedName>
    <definedName name="k">#REF!</definedName>
    <definedName name="K0">336000</definedName>
    <definedName name="Kacangan">#REF!</definedName>
    <definedName name="kasian">#REF!</definedName>
    <definedName name="Kcl">#REF!</definedName>
    <definedName name="KDKY" localSheetId="1">#REF!</definedName>
    <definedName name="KDKY" localSheetId="3">#REF!</definedName>
    <definedName name="KDKY">#REF!</definedName>
    <definedName name="KEBUN">#REF!</definedName>
    <definedName name="KEBUN_">#REF!</definedName>
    <definedName name="KHF" localSheetId="1">#REF!</definedName>
    <definedName name="KHF" localSheetId="3">#REF!</definedName>
    <definedName name="KHF">#REF!</definedName>
    <definedName name="kieserit">#REF!</definedName>
    <definedName name="Kis">#REF!</definedName>
    <definedName name="kiserit">#REF!</definedName>
    <definedName name="Kiserite">#REF!</definedName>
    <definedName name="KL.GL" localSheetId="1">#REF!</definedName>
    <definedName name="KL.GL" localSheetId="3">#REF!</definedName>
    <definedName name="KL.GL">#REF!</definedName>
    <definedName name="kolik">#REF!</definedName>
    <definedName name="kr">#REF!</definedName>
    <definedName name="kris">#REF!</definedName>
    <definedName name="KTYK" localSheetId="1">#REF!</definedName>
    <definedName name="KTYK" localSheetId="3">#REF!</definedName>
    <definedName name="KTYK">#REF!</definedName>
    <definedName name="Kuas_Lukis">#REF!</definedName>
    <definedName name="KUY" localSheetId="1">#REF!</definedName>
    <definedName name="KUY" localSheetId="3">#REF!</definedName>
    <definedName name="KUY">#REF!</definedName>
    <definedName name="KYDK" localSheetId="1">#REF!</definedName>
    <definedName name="KYDK" localSheetId="3">#REF!</definedName>
    <definedName name="KYDK">#REF!</definedName>
    <definedName name="LKL" localSheetId="1">#REF!</definedName>
    <definedName name="LKL" localSheetId="3">#REF!</definedName>
    <definedName name="LKL">#REF!</definedName>
    <definedName name="m">#REF!</definedName>
    <definedName name="madi">#REF!</definedName>
    <definedName name="Matador">#REF!</definedName>
    <definedName name="Minyak_Tanah">#REF!</definedName>
    <definedName name="misruni">#REF!</definedName>
    <definedName name="MK">#REF!</definedName>
    <definedName name="MK_">#REF!</definedName>
    <definedName name="Mop">#REF!</definedName>
    <definedName name="mtf" localSheetId="1">#REF!</definedName>
    <definedName name="mtf" localSheetId="3">#REF!</definedName>
    <definedName name="mtf">#REF!</definedName>
    <definedName name="Mtr" localSheetId="1">#REF!</definedName>
    <definedName name="Mtr" localSheetId="3">#REF!</definedName>
    <definedName name="Mtr">#REF!</definedName>
    <definedName name="nain">#REF!</definedName>
    <definedName name="nfgn" localSheetId="1">#REF!</definedName>
    <definedName name="nfgn" localSheetId="3">#REF!</definedName>
    <definedName name="nfgn">#REF!</definedName>
    <definedName name="ng" localSheetId="1">#REF!</definedName>
    <definedName name="ng" localSheetId="3">#REF!</definedName>
    <definedName name="ng">#REF!</definedName>
    <definedName name="ngf" localSheetId="1">#REF!</definedName>
    <definedName name="ngf" localSheetId="3">#REF!</definedName>
    <definedName name="ngf">#REF!</definedName>
    <definedName name="nght" localSheetId="1">#REF!</definedName>
    <definedName name="nght" localSheetId="3">#REF!</definedName>
    <definedName name="nght">#REF!</definedName>
    <definedName name="nhgn" localSheetId="1">#REF!</definedName>
    <definedName name="nhgn" localSheetId="3">#REF!</definedName>
    <definedName name="nhgn">#REF!</definedName>
    <definedName name="nisa">#REF!</definedName>
    <definedName name="nnnn" localSheetId="1">#REF!</definedName>
    <definedName name="nnnn" localSheetId="3">#REF!</definedName>
    <definedName name="nnnn">#REF!</definedName>
    <definedName name="nomor1a" localSheetId="1">#REF!</definedName>
    <definedName name="nomor1a" localSheetId="3">#REF!</definedName>
    <definedName name="nomor1a">#REF!</definedName>
    <definedName name="nomorc1" localSheetId="1">#REF!</definedName>
    <definedName name="nomorc1" localSheetId="3">#REF!</definedName>
    <definedName name="nomorc1">#REF!</definedName>
    <definedName name="nomorupah" localSheetId="1">#REF!</definedName>
    <definedName name="nomorupah" localSheetId="3">#REF!</definedName>
    <definedName name="nomorupah">#REF!</definedName>
    <definedName name="Nozle">#REF!</definedName>
    <definedName name="NPPKU">#REF!</definedName>
    <definedName name="nyoto">#REF!</definedName>
    <definedName name="OUT">#REF!</definedName>
    <definedName name="PAHRUDIN">#REF!</definedName>
    <definedName name="pardiono">#REF!</definedName>
    <definedName name="per1c" localSheetId="1">#REF!</definedName>
    <definedName name="per1c" localSheetId="3">#REF!</definedName>
    <definedName name="per1c">#REF!</definedName>
    <definedName name="per1ck" localSheetId="1">#REF!</definedName>
    <definedName name="per1ck" localSheetId="3">#REF!</definedName>
    <definedName name="per1ck">#REF!</definedName>
    <definedName name="perc1" localSheetId="1">#REF!</definedName>
    <definedName name="perc1" localSheetId="3">#REF!</definedName>
    <definedName name="perc1">#REF!</definedName>
    <definedName name="pertama" localSheetId="1">#REF!</definedName>
    <definedName name="pertama" localSheetId="3">#REF!</definedName>
    <definedName name="pertama">#REF!</definedName>
    <definedName name="phospide">#REF!</definedName>
    <definedName name="PIBLN">#REF!</definedName>
    <definedName name="PIREC">#REF!</definedName>
    <definedName name="_xlnm.Print_Area" localSheetId="1">'Plasma I 01'!$A$1:$O$157</definedName>
    <definedName name="_xlnm.Print_Area" localSheetId="3">'Plasma II 01'!$C$1:$Q$126</definedName>
    <definedName name="_xlnm.Print_Area" localSheetId="5">Surat!$B$1:$F$88</definedName>
    <definedName name="_xlnm.Print_Area" localSheetId="2">Surat_1!$A$1:$I$49</definedName>
    <definedName name="_xlnm.Print_Area" localSheetId="4">Surat_2!$A$1:$I$49</definedName>
    <definedName name="_xlnm.Print_Area">#REF!</definedName>
    <definedName name="_xlnm.Print_Titles" localSheetId="1">'Plasma I 01'!$11:$12</definedName>
    <definedName name="_xlnm.Print_Titles" localSheetId="3">'Plasma II 01'!$11:$12</definedName>
    <definedName name="pupuk" localSheetId="1">#REF!</definedName>
    <definedName name="pupuk" localSheetId="3">#REF!</definedName>
    <definedName name="pupuk">#REF!</definedName>
    <definedName name="Pupuk_Ayam">#REF!</definedName>
    <definedName name="Pupuk_Granuler">#REF!</definedName>
    <definedName name="Pupuk_Granuler_Murni">#REF!</definedName>
    <definedName name="Pupuk_Organik__Ayam">#REF!</definedName>
    <definedName name="rakis">#REF!</definedName>
    <definedName name="ramin">#REF!</definedName>
    <definedName name="RE" localSheetId="1">#REF!</definedName>
    <definedName name="RE" localSheetId="3">#REF!</definedName>
    <definedName name="RE">#REF!</definedName>
    <definedName name="REK" localSheetId="1">#REF!</definedName>
    <definedName name="REK" localSheetId="3">#REF!</definedName>
    <definedName name="REK">#REF!</definedName>
    <definedName name="REKAP" localSheetId="1">#REF!</definedName>
    <definedName name="REKAP" localSheetId="3">#REF!</definedName>
    <definedName name="REKAP">#REF!</definedName>
    <definedName name="RESRTH" localSheetId="1">#REF!</definedName>
    <definedName name="RESRTH" localSheetId="3">#REF!</definedName>
    <definedName name="RESRTH">#REF!</definedName>
    <definedName name="rinc" localSheetId="1">#REF!</definedName>
    <definedName name="rinc" localSheetId="3">#REF!</definedName>
    <definedName name="rinc">#REF!</definedName>
    <definedName name="Rocki" localSheetId="1">#REF!</definedName>
    <definedName name="Rocki" localSheetId="3">#REF!</definedName>
    <definedName name="Rocki">#REF!</definedName>
    <definedName name="RS" localSheetId="1">#REF!</definedName>
    <definedName name="RS" localSheetId="3">#REF!</definedName>
    <definedName name="RS">#REF!</definedName>
    <definedName name="RTJRTJ" localSheetId="1">#REF!</definedName>
    <definedName name="RTJRTJ" localSheetId="3">#REF!</definedName>
    <definedName name="RTJRTJ">#REF!</definedName>
    <definedName name="s">#REF!</definedName>
    <definedName name="sa" localSheetId="1">#REF!</definedName>
    <definedName name="sa" localSheetId="3">#REF!</definedName>
    <definedName name="sa">#REF!</definedName>
    <definedName name="sd" localSheetId="1">#REF!</definedName>
    <definedName name="sd" localSheetId="3">#REF!</definedName>
    <definedName name="sd">#REF!</definedName>
    <definedName name="SDF" localSheetId="1">#REF!</definedName>
    <definedName name="SDF" localSheetId="3">#REF!</definedName>
    <definedName name="SDF">#REF!</definedName>
    <definedName name="SDG" localSheetId="1">#REF!</definedName>
    <definedName name="SDG" localSheetId="3">#REF!</definedName>
    <definedName name="SDG">#REF!</definedName>
    <definedName name="SDGS" localSheetId="1">#REF!</definedName>
    <definedName name="SDGS" localSheetId="3">#REF!</definedName>
    <definedName name="SDGS">#REF!</definedName>
    <definedName name="sds" localSheetId="1">#REF!</definedName>
    <definedName name="sds" localSheetId="3">#REF!</definedName>
    <definedName name="sds">#REF!</definedName>
    <definedName name="SDTGD" localSheetId="1">#REF!</definedName>
    <definedName name="SDTGD" localSheetId="3">#REF!</definedName>
    <definedName name="SDTGD">#REF!</definedName>
    <definedName name="sdvs" localSheetId="1">#REF!</definedName>
    <definedName name="sdvs" localSheetId="3">#REF!</definedName>
    <definedName name="sdvs">#REF!</definedName>
    <definedName name="sdvsdv" localSheetId="1">#REF!</definedName>
    <definedName name="sdvsdv" localSheetId="3">#REF!</definedName>
    <definedName name="sdvsdv">#REF!</definedName>
    <definedName name="sdw" localSheetId="1">#REF!</definedName>
    <definedName name="sdw" localSheetId="3">#REF!</definedName>
    <definedName name="sdw">#REF!</definedName>
    <definedName name="Seng">#REF!</definedName>
    <definedName name="SERR" localSheetId="1">#REF!</definedName>
    <definedName name="SERR" localSheetId="3">#REF!</definedName>
    <definedName name="SERR">#REF!</definedName>
    <definedName name="SEVIN">#REF!</definedName>
    <definedName name="SF" localSheetId="1">#REF!</definedName>
    <definedName name="SF" localSheetId="3">#REF!</definedName>
    <definedName name="SF">#REF!</definedName>
    <definedName name="sidometrin">#REF!</definedName>
    <definedName name="SIM_PINION_TRANSMISI" localSheetId="1">#REF!</definedName>
    <definedName name="SIM_PINION_TRANSMISI" localSheetId="3">#REF!</definedName>
    <definedName name="SIM_PINION_TRANSMISI">#REF!</definedName>
    <definedName name="SJ" localSheetId="1">#REF!</definedName>
    <definedName name="SJ" localSheetId="3">#REF!</definedName>
    <definedName name="SJ">#REF!</definedName>
    <definedName name="SJA" localSheetId="1">#REF!</definedName>
    <definedName name="SJA" localSheetId="3">#REF!</definedName>
    <definedName name="SJA">#REF!</definedName>
    <definedName name="SJS" localSheetId="1">#REF!</definedName>
    <definedName name="SJS" localSheetId="3">#REF!</definedName>
    <definedName name="SJS">#REF!</definedName>
    <definedName name="SJSTJ" localSheetId="1">#REF!</definedName>
    <definedName name="SJSTJ" localSheetId="3">#REF!</definedName>
    <definedName name="SJSTJ">#REF!</definedName>
    <definedName name="SJTJ" localSheetId="1">#REF!</definedName>
    <definedName name="SJTJ" localSheetId="3">#REF!</definedName>
    <definedName name="SJTJ">#REF!</definedName>
    <definedName name="solar">#REF!</definedName>
    <definedName name="Solo_Spryer">#REF!</definedName>
    <definedName name="Spt" localSheetId="1">#REF!</definedName>
    <definedName name="Spt" localSheetId="3">#REF!</definedName>
    <definedName name="Spt">#REF!</definedName>
    <definedName name="SRTJS" localSheetId="1">#REF!</definedName>
    <definedName name="SRTJS" localSheetId="3">#REF!</definedName>
    <definedName name="SRTJS">#REF!</definedName>
    <definedName name="ssf" localSheetId="1">#REF!</definedName>
    <definedName name="ssf" localSheetId="3">#REF!</definedName>
    <definedName name="ssf">#REF!</definedName>
    <definedName name="starfose">#REF!</definedName>
    <definedName name="STJRD" localSheetId="1">#REF!</definedName>
    <definedName name="STJRD" localSheetId="3">#REF!</definedName>
    <definedName name="STJRD">#REF!</definedName>
    <definedName name="STJTJ" localSheetId="1">#REF!</definedName>
    <definedName name="STJTJ" localSheetId="3">#REF!</definedName>
    <definedName name="STJTJ">#REF!</definedName>
    <definedName name="STRJS" localSheetId="1">#REF!</definedName>
    <definedName name="STRJS" localSheetId="3">#REF!</definedName>
    <definedName name="STRJS">#REF!</definedName>
    <definedName name="suhono">#REF!</definedName>
    <definedName name="sukiat">#REF!</definedName>
    <definedName name="sum">#REF!</definedName>
    <definedName name="Supremix">#REF!</definedName>
    <definedName name="Supretox">#REF!</definedName>
    <definedName name="surateman">#REF!</definedName>
    <definedName name="surip">#REF!</definedName>
    <definedName name="suroso">#REF!</definedName>
    <definedName name="Susu">#REF!</definedName>
    <definedName name="suyutno">#REF!</definedName>
    <definedName name="Terpal_4x6">#REF!</definedName>
    <definedName name="TH" localSheetId="1">#REF!</definedName>
    <definedName name="TH" localSheetId="3">#REF!</definedName>
    <definedName name="TH">#REF!</definedName>
    <definedName name="thg" localSheetId="1">#REF!</definedName>
    <definedName name="thg" localSheetId="3">#REF!</definedName>
    <definedName name="thg">#REF!</definedName>
    <definedName name="Tikno">#REF!</definedName>
    <definedName name="TJRTJ" localSheetId="1">#REF!</definedName>
    <definedName name="TJRTJ" localSheetId="3">#REF!</definedName>
    <definedName name="TJRTJ">#REF!</definedName>
    <definedName name="TJSJ" localSheetId="1">#REF!</definedName>
    <definedName name="TJSJ" localSheetId="3">#REF!</definedName>
    <definedName name="TJSJ">#REF!</definedName>
    <definedName name="TK">192000</definedName>
    <definedName name="tolani">#REF!</definedName>
    <definedName name="toni">#REF!</definedName>
    <definedName name="TRAP">#REF!</definedName>
    <definedName name="Triester">#REF!</definedName>
    <definedName name="TS" localSheetId="1">#REF!</definedName>
    <definedName name="TS" localSheetId="3">#REF!</definedName>
    <definedName name="TS">#REF!</definedName>
    <definedName name="TSP">#REF!</definedName>
    <definedName name="tyurt" localSheetId="1">#REF!</definedName>
    <definedName name="tyurt" localSheetId="3">#REF!</definedName>
    <definedName name="tyurt">#REF!</definedName>
    <definedName name="uj" localSheetId="1">#REF!</definedName>
    <definedName name="uj" localSheetId="3">#REF!</definedName>
    <definedName name="uj">#REF!</definedName>
    <definedName name="ULG" localSheetId="1">#REF!</definedName>
    <definedName name="ULG" localSheetId="3">#REF!</definedName>
    <definedName name="ULG">#REF!</definedName>
    <definedName name="ULK" localSheetId="1">#REF!</definedName>
    <definedName name="ULK" localSheetId="3">#REF!</definedName>
    <definedName name="ULK">#REF!</definedName>
    <definedName name="ulum">#REF!</definedName>
    <definedName name="umum" localSheetId="1">#REF!</definedName>
    <definedName name="umum" localSheetId="3">#REF!</definedName>
    <definedName name="umum">#REF!</definedName>
    <definedName name="UPAH">#REF!</definedName>
    <definedName name="Urea">#REF!</definedName>
    <definedName name="VHHVSDHSVD" localSheetId="1">#REF!</definedName>
    <definedName name="VHHVSDHSVD" localSheetId="3">#REF!</definedName>
    <definedName name="VHHVSDHSVD">#REF!</definedName>
    <definedName name="VHK" localSheetId="1">#REF!</definedName>
    <definedName name="VHK" localSheetId="3">#REF!</definedName>
    <definedName name="VHK">#REF!</definedName>
    <definedName name="wahyo">#REF!</definedName>
    <definedName name="wakijo">#REF!</definedName>
    <definedName name="WE" localSheetId="1">#REF!</definedName>
    <definedName name="WE" localSheetId="3">#REF!</definedName>
    <definedName name="WE">#REF!</definedName>
    <definedName name="weeeni">#REF!</definedName>
    <definedName name="welding" localSheetId="1">#REF!</definedName>
    <definedName name="welding" localSheetId="3">#REF!</definedName>
    <definedName name="welding">#REF!</definedName>
    <definedName name="WENI">#REF!</definedName>
    <definedName name="WET" localSheetId="1">#REF!</definedName>
    <definedName name="WET" localSheetId="3">#REF!</definedName>
    <definedName name="WET">#REF!</definedName>
    <definedName name="wintaq">#REF!</definedName>
    <definedName name="wito">#REF!</definedName>
    <definedName name="wrg" localSheetId="1">#REF!</definedName>
    <definedName name="wrg" localSheetId="3">#REF!</definedName>
    <definedName name="wrg">#REF!</definedName>
    <definedName name="wrqr" localSheetId="1">#REF!</definedName>
    <definedName name="wrqr" localSheetId="3">#REF!</definedName>
    <definedName name="wrqr">#REF!</definedName>
    <definedName name="wrqw" localSheetId="1">#REF!</definedName>
    <definedName name="wrqw" localSheetId="3">#REF!</definedName>
    <definedName name="wrqw">#REF!</definedName>
    <definedName name="wrqwr" localSheetId="1">#REF!</definedName>
    <definedName name="wrqwr" localSheetId="3">#REF!</definedName>
    <definedName name="wrqwr">#REF!</definedName>
    <definedName name="yanmas" localSheetId="1">#REF!</definedName>
    <definedName name="yanmas" localSheetId="3">#REF!</definedName>
    <definedName name="yanmas">#REF!</definedName>
    <definedName name="yanto">#REF!</definedName>
    <definedName name="yatno">#REF!</definedName>
    <definedName name="YK" localSheetId="1">#REF!</definedName>
    <definedName name="YK" localSheetId="3">#REF!</definedName>
    <definedName name="YK">#REF!</definedName>
    <definedName name="yono">#REF!</definedName>
    <definedName name="YUK" localSheetId="1">#REF!</definedName>
    <definedName name="YUK" localSheetId="3">#REF!</definedName>
    <definedName name="YUK">#REF!</definedName>
    <definedName name="yusran">#REF!</definedName>
    <definedName name="ZBF" localSheetId="1">#REF!</definedName>
    <definedName name="ZBF" localSheetId="3">#REF!</definedName>
    <definedName name="ZBF">#REF!</definedName>
    <definedName name="ZDG" localSheetId="1">#REF!</definedName>
    <definedName name="ZDG" localSheetId="3">#REF!</definedName>
    <definedName name="ZDG">#REF!</definedName>
  </definedNames>
  <calcPr calcId="191029"/>
</workbook>
</file>

<file path=xl/calcChain.xml><?xml version="1.0" encoding="utf-8"?>
<calcChain xmlns="http://schemas.openxmlformats.org/spreadsheetml/2006/main">
  <c r="B5" i="53" l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H33" i="55"/>
  <c r="H32" i="55"/>
  <c r="D69" i="48" s="1"/>
  <c r="D25" i="48"/>
  <c r="K33" i="55"/>
  <c r="H31" i="55"/>
  <c r="K33" i="54"/>
  <c r="H33" i="54"/>
  <c r="H32" i="54"/>
  <c r="H31" i="54"/>
  <c r="L141" i="51"/>
  <c r="H25" i="55"/>
  <c r="H26" i="55"/>
  <c r="H27" i="55"/>
  <c r="H24" i="55"/>
  <c r="H25" i="54"/>
  <c r="H26" i="54"/>
  <c r="H27" i="54"/>
  <c r="H24" i="54"/>
  <c r="D17" i="55"/>
  <c r="D16" i="55"/>
  <c r="B14" i="55"/>
  <c r="D9" i="55"/>
  <c r="D17" i="54"/>
  <c r="D16" i="54"/>
  <c r="B14" i="54"/>
  <c r="D9" i="54"/>
  <c r="B4" i="53"/>
  <c r="B36" i="54"/>
  <c r="H28" i="55" l="1"/>
  <c r="H28" i="54"/>
  <c r="H29" i="55"/>
  <c r="H29" i="54" l="1"/>
  <c r="H30" i="54" s="1"/>
  <c r="H30" i="55"/>
  <c r="I17" i="51" l="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I35" i="51"/>
  <c r="I36" i="51"/>
  <c r="I37" i="51"/>
  <c r="I38" i="51"/>
  <c r="I39" i="51"/>
  <c r="I40" i="51"/>
  <c r="I41" i="51"/>
  <c r="I42" i="51"/>
  <c r="I43" i="51"/>
  <c r="I44" i="51"/>
  <c r="I45" i="51"/>
  <c r="I46" i="51"/>
  <c r="I47" i="51"/>
  <c r="I48" i="51"/>
  <c r="I49" i="51"/>
  <c r="I50" i="51"/>
  <c r="I51" i="51"/>
  <c r="I52" i="51"/>
  <c r="I53" i="51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74" i="51"/>
  <c r="I75" i="51"/>
  <c r="I76" i="51"/>
  <c r="I77" i="51"/>
  <c r="I78" i="51"/>
  <c r="I79" i="51"/>
  <c r="I80" i="51"/>
  <c r="I81" i="51"/>
  <c r="I82" i="51"/>
  <c r="I83" i="51"/>
  <c r="I84" i="51"/>
  <c r="I85" i="51"/>
  <c r="I86" i="51"/>
  <c r="I87" i="51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L77" i="52"/>
  <c r="L78" i="52"/>
  <c r="L79" i="52"/>
  <c r="L80" i="52"/>
  <c r="L81" i="52"/>
  <c r="L82" i="52"/>
  <c r="L83" i="52"/>
  <c r="L84" i="52"/>
  <c r="Q84" i="52" s="1"/>
  <c r="R84" i="52" s="1"/>
  <c r="L85" i="52"/>
  <c r="N85" i="52" s="1"/>
  <c r="L86" i="52"/>
  <c r="Q86" i="52" s="1"/>
  <c r="R86" i="52" s="1"/>
  <c r="L76" i="52"/>
  <c r="L75" i="52"/>
  <c r="L74" i="52"/>
  <c r="L73" i="52"/>
  <c r="L72" i="52"/>
  <c r="L71" i="52"/>
  <c r="L70" i="52"/>
  <c r="L69" i="52"/>
  <c r="L68" i="52"/>
  <c r="L67" i="52"/>
  <c r="L66" i="52"/>
  <c r="L65" i="52"/>
  <c r="N65" i="52" s="1"/>
  <c r="L64" i="52"/>
  <c r="L63" i="52"/>
  <c r="L62" i="52"/>
  <c r="L61" i="52"/>
  <c r="L60" i="52"/>
  <c r="L59" i="52"/>
  <c r="L58" i="52"/>
  <c r="L57" i="52"/>
  <c r="N57" i="52" s="1"/>
  <c r="L56" i="52"/>
  <c r="L55" i="52"/>
  <c r="L54" i="52"/>
  <c r="L53" i="52"/>
  <c r="N53" i="52" s="1"/>
  <c r="L52" i="52"/>
  <c r="L51" i="52"/>
  <c r="L15" i="52"/>
  <c r="M15" i="52"/>
  <c r="O15" i="52"/>
  <c r="L16" i="52"/>
  <c r="M16" i="52"/>
  <c r="N16" i="52" s="1"/>
  <c r="O16" i="52"/>
  <c r="L17" i="52"/>
  <c r="M17" i="52"/>
  <c r="O17" i="52"/>
  <c r="L18" i="52"/>
  <c r="M18" i="52"/>
  <c r="N18" i="52" s="1"/>
  <c r="O18" i="52"/>
  <c r="L19" i="52"/>
  <c r="M19" i="52"/>
  <c r="O19" i="52"/>
  <c r="L20" i="52"/>
  <c r="M20" i="52"/>
  <c r="N20" i="52" s="1"/>
  <c r="O20" i="52"/>
  <c r="L21" i="52"/>
  <c r="N21" i="52" s="1"/>
  <c r="M21" i="52"/>
  <c r="O21" i="52"/>
  <c r="L22" i="52"/>
  <c r="M22" i="52"/>
  <c r="O22" i="52"/>
  <c r="L23" i="52"/>
  <c r="M23" i="52"/>
  <c r="O23" i="52"/>
  <c r="L24" i="52"/>
  <c r="M24" i="52"/>
  <c r="N24" i="52" s="1"/>
  <c r="O24" i="52"/>
  <c r="L25" i="52"/>
  <c r="N25" i="52" s="1"/>
  <c r="M25" i="52"/>
  <c r="O25" i="52"/>
  <c r="L26" i="52"/>
  <c r="M26" i="52"/>
  <c r="O26" i="52"/>
  <c r="L27" i="52"/>
  <c r="M27" i="52"/>
  <c r="O27" i="52"/>
  <c r="L28" i="52"/>
  <c r="M28" i="52"/>
  <c r="N28" i="52" s="1"/>
  <c r="O28" i="52"/>
  <c r="L29" i="52"/>
  <c r="N29" i="52" s="1"/>
  <c r="M29" i="52"/>
  <c r="O29" i="52"/>
  <c r="L30" i="52"/>
  <c r="M30" i="52"/>
  <c r="O30" i="52"/>
  <c r="L31" i="52"/>
  <c r="M31" i="52"/>
  <c r="O31" i="52"/>
  <c r="L32" i="52"/>
  <c r="M32" i="52"/>
  <c r="N32" i="52" s="1"/>
  <c r="O32" i="52"/>
  <c r="L33" i="52"/>
  <c r="N33" i="52" s="1"/>
  <c r="M33" i="52"/>
  <c r="O33" i="52"/>
  <c r="L34" i="52"/>
  <c r="M34" i="52"/>
  <c r="O34" i="52"/>
  <c r="L35" i="52"/>
  <c r="M35" i="52"/>
  <c r="O35" i="52"/>
  <c r="L36" i="52"/>
  <c r="M36" i="52"/>
  <c r="N36" i="52" s="1"/>
  <c r="O36" i="52"/>
  <c r="L37" i="52"/>
  <c r="N37" i="52" s="1"/>
  <c r="M37" i="52"/>
  <c r="O37" i="52"/>
  <c r="L38" i="52"/>
  <c r="M38" i="52"/>
  <c r="O38" i="52"/>
  <c r="L39" i="52"/>
  <c r="M39" i="52"/>
  <c r="O39" i="52"/>
  <c r="L40" i="52"/>
  <c r="M40" i="52"/>
  <c r="N40" i="52" s="1"/>
  <c r="O40" i="52"/>
  <c r="L41" i="52"/>
  <c r="N41" i="52" s="1"/>
  <c r="M41" i="52"/>
  <c r="O41" i="52"/>
  <c r="L42" i="52"/>
  <c r="M42" i="52"/>
  <c r="O42" i="52"/>
  <c r="L43" i="52"/>
  <c r="M43" i="52"/>
  <c r="O43" i="52"/>
  <c r="L44" i="52"/>
  <c r="M44" i="52"/>
  <c r="N44" i="52" s="1"/>
  <c r="O44" i="52"/>
  <c r="L45" i="52"/>
  <c r="N45" i="52" s="1"/>
  <c r="M45" i="52"/>
  <c r="O45" i="52"/>
  <c r="L46" i="52"/>
  <c r="M46" i="52"/>
  <c r="O46" i="52"/>
  <c r="L47" i="52"/>
  <c r="M47" i="52"/>
  <c r="O47" i="52"/>
  <c r="L48" i="52"/>
  <c r="M48" i="52"/>
  <c r="N48" i="52" s="1"/>
  <c r="O48" i="52"/>
  <c r="L49" i="52"/>
  <c r="N49" i="52" s="1"/>
  <c r="M49" i="52"/>
  <c r="O49" i="52"/>
  <c r="L50" i="52"/>
  <c r="M50" i="52"/>
  <c r="O50" i="52"/>
  <c r="M51" i="52"/>
  <c r="N51" i="52" s="1"/>
  <c r="M52" i="52"/>
  <c r="N52" i="52" s="1"/>
  <c r="M53" i="52"/>
  <c r="M54" i="52"/>
  <c r="N54" i="52" s="1"/>
  <c r="N55" i="52"/>
  <c r="M55" i="52"/>
  <c r="M56" i="52"/>
  <c r="M57" i="52"/>
  <c r="M58" i="52"/>
  <c r="M59" i="52"/>
  <c r="N59" i="52" s="1"/>
  <c r="M60" i="52"/>
  <c r="N60" i="52" s="1"/>
  <c r="M61" i="52"/>
  <c r="N61" i="52" s="1"/>
  <c r="M62" i="52"/>
  <c r="N62" i="52" s="1"/>
  <c r="N63" i="52"/>
  <c r="M63" i="52"/>
  <c r="M64" i="52"/>
  <c r="N64" i="52" s="1"/>
  <c r="M65" i="52"/>
  <c r="M66" i="52"/>
  <c r="N66" i="52" s="1"/>
  <c r="M67" i="52"/>
  <c r="N67" i="52" s="1"/>
  <c r="N68" i="52"/>
  <c r="M68" i="52"/>
  <c r="M69" i="52"/>
  <c r="N69" i="52" s="1"/>
  <c r="N70" i="52"/>
  <c r="M70" i="52"/>
  <c r="M71" i="52"/>
  <c r="M72" i="52"/>
  <c r="N72" i="52" s="1"/>
  <c r="M73" i="52"/>
  <c r="N73" i="52" s="1"/>
  <c r="M74" i="52"/>
  <c r="N74" i="52" s="1"/>
  <c r="M75" i="52"/>
  <c r="N75" i="52" s="1"/>
  <c r="N76" i="52"/>
  <c r="M76" i="52"/>
  <c r="Q76" i="52"/>
  <c r="R76" i="52" s="1"/>
  <c r="M77" i="52"/>
  <c r="N77" i="52" s="1"/>
  <c r="M78" i="52"/>
  <c r="N78" i="52" s="1"/>
  <c r="Q78" i="52"/>
  <c r="R78" i="52" s="1"/>
  <c r="M79" i="52"/>
  <c r="N79" i="52" s="1"/>
  <c r="M80" i="52"/>
  <c r="Q80" i="52" s="1"/>
  <c r="R80" i="52" s="1"/>
  <c r="M81" i="52"/>
  <c r="N81" i="52" s="1"/>
  <c r="Q81" i="52"/>
  <c r="R81" i="52" s="1"/>
  <c r="M82" i="52"/>
  <c r="Q82" i="52"/>
  <c r="R82" i="52" s="1"/>
  <c r="M83" i="52"/>
  <c r="M84" i="52"/>
  <c r="M85" i="52"/>
  <c r="Q85" i="52"/>
  <c r="R85" i="52" s="1"/>
  <c r="M86" i="52"/>
  <c r="O14" i="52"/>
  <c r="M14" i="52"/>
  <c r="L14" i="52"/>
  <c r="K14" i="52"/>
  <c r="J14" i="51"/>
  <c r="J78" i="52"/>
  <c r="Q73" i="52" s="1"/>
  <c r="R73" i="52" s="1"/>
  <c r="J79" i="52"/>
  <c r="J80" i="52"/>
  <c r="J81" i="52"/>
  <c r="N17" i="52" l="1"/>
  <c r="N82" i="52"/>
  <c r="N47" i="52"/>
  <c r="N31" i="52"/>
  <c r="N27" i="52"/>
  <c r="N19" i="52"/>
  <c r="N86" i="52"/>
  <c r="P86" i="52" s="1"/>
  <c r="N58" i="52"/>
  <c r="N80" i="52"/>
  <c r="N50" i="52"/>
  <c r="N46" i="52"/>
  <c r="N42" i="52"/>
  <c r="N38" i="52"/>
  <c r="N34" i="52"/>
  <c r="N30" i="52"/>
  <c r="N26" i="52"/>
  <c r="Q79" i="52"/>
  <c r="R79" i="52" s="1"/>
  <c r="N83" i="52"/>
  <c r="N43" i="52"/>
  <c r="N39" i="52"/>
  <c r="N35" i="52"/>
  <c r="N23" i="52"/>
  <c r="Q75" i="52"/>
  <c r="R75" i="52" s="1"/>
  <c r="N56" i="52"/>
  <c r="N15" i="52"/>
  <c r="Q74" i="52"/>
  <c r="R74" i="52" s="1"/>
  <c r="N71" i="52"/>
  <c r="Q83" i="52"/>
  <c r="R83" i="52" s="1"/>
  <c r="Q77" i="52"/>
  <c r="R77" i="52" s="1"/>
  <c r="N22" i="52"/>
  <c r="N84" i="52"/>
  <c r="P74" i="52"/>
  <c r="P73" i="52"/>
  <c r="N14" i="52"/>
  <c r="P75" i="52" l="1"/>
  <c r="M87" i="51"/>
  <c r="M86" i="51"/>
  <c r="M85" i="51"/>
  <c r="M84" i="51"/>
  <c r="M83" i="51"/>
  <c r="M82" i="51"/>
  <c r="M81" i="51"/>
  <c r="M80" i="51"/>
  <c r="M79" i="51"/>
  <c r="M78" i="51"/>
  <c r="M77" i="51"/>
  <c r="M76" i="51"/>
  <c r="M75" i="51"/>
  <c r="M74" i="51"/>
  <c r="M73" i="51"/>
  <c r="M72" i="51"/>
  <c r="M71" i="51"/>
  <c r="M70" i="51"/>
  <c r="M69" i="51"/>
  <c r="M68" i="51"/>
  <c r="M67" i="51"/>
  <c r="P88" i="51"/>
  <c r="J87" i="51"/>
  <c r="J86" i="51"/>
  <c r="J85" i="51"/>
  <c r="J84" i="51"/>
  <c r="J83" i="51"/>
  <c r="J82" i="51"/>
  <c r="J81" i="51"/>
  <c r="J80" i="51"/>
  <c r="J79" i="51"/>
  <c r="J78" i="51"/>
  <c r="J77" i="51"/>
  <c r="J76" i="51"/>
  <c r="J75" i="51"/>
  <c r="J74" i="51"/>
  <c r="J73" i="51"/>
  <c r="J72" i="51"/>
  <c r="J71" i="51"/>
  <c r="L71" i="51" s="1"/>
  <c r="J70" i="51"/>
  <c r="J69" i="51"/>
  <c r="J68" i="51"/>
  <c r="J67" i="51"/>
  <c r="L67" i="51" s="1"/>
  <c r="M66" i="51"/>
  <c r="J66" i="51"/>
  <c r="J65" i="51"/>
  <c r="J64" i="51"/>
  <c r="J63" i="51"/>
  <c r="M62" i="51"/>
  <c r="J62" i="51"/>
  <c r="M61" i="51"/>
  <c r="M60" i="51"/>
  <c r="M59" i="51"/>
  <c r="M58" i="51"/>
  <c r="M57" i="51"/>
  <c r="M56" i="51"/>
  <c r="M55" i="51"/>
  <c r="M54" i="51"/>
  <c r="M53" i="51"/>
  <c r="J61" i="51"/>
  <c r="J60" i="51"/>
  <c r="J59" i="51"/>
  <c r="J58" i="51"/>
  <c r="J57" i="51"/>
  <c r="J56" i="51"/>
  <c r="J55" i="51"/>
  <c r="J54" i="51"/>
  <c r="J53" i="51"/>
  <c r="M52" i="51"/>
  <c r="J52" i="51"/>
  <c r="P92" i="51"/>
  <c r="P90" i="51"/>
  <c r="P91" i="51"/>
  <c r="P89" i="51"/>
  <c r="L78" i="51"/>
  <c r="K78" i="51"/>
  <c r="O78" i="51"/>
  <c r="K79" i="51"/>
  <c r="O79" i="51"/>
  <c r="K80" i="51"/>
  <c r="O80" i="51"/>
  <c r="K81" i="51"/>
  <c r="L81" i="51" s="1"/>
  <c r="O81" i="51"/>
  <c r="K82" i="51"/>
  <c r="L82" i="51" s="1"/>
  <c r="K83" i="51"/>
  <c r="L83" i="51" s="1"/>
  <c r="K84" i="51"/>
  <c r="K85" i="51"/>
  <c r="L85" i="51" s="1"/>
  <c r="L86" i="51"/>
  <c r="K86" i="51"/>
  <c r="O86" i="51"/>
  <c r="P86" i="51" s="1"/>
  <c r="K87" i="51"/>
  <c r="O87" i="51"/>
  <c r="P87" i="51" s="1"/>
  <c r="J15" i="51"/>
  <c r="K15" i="51"/>
  <c r="M15" i="51"/>
  <c r="J16" i="51"/>
  <c r="K16" i="51"/>
  <c r="L16" i="51" s="1"/>
  <c r="M16" i="51"/>
  <c r="O16" i="51"/>
  <c r="J17" i="51"/>
  <c r="K17" i="51"/>
  <c r="M17" i="51"/>
  <c r="J18" i="51"/>
  <c r="K18" i="51"/>
  <c r="L18" i="51" s="1"/>
  <c r="M18" i="51"/>
  <c r="O18" i="51"/>
  <c r="P18" i="51" s="1"/>
  <c r="J19" i="51"/>
  <c r="K19" i="51"/>
  <c r="M19" i="51"/>
  <c r="J20" i="51"/>
  <c r="K20" i="51"/>
  <c r="M20" i="51"/>
  <c r="J21" i="51"/>
  <c r="K21" i="51"/>
  <c r="M21" i="51"/>
  <c r="J22" i="51"/>
  <c r="K22" i="51"/>
  <c r="L22" i="51" s="1"/>
  <c r="M22" i="51"/>
  <c r="J23" i="51"/>
  <c r="K23" i="51"/>
  <c r="M23" i="51"/>
  <c r="J24" i="51"/>
  <c r="K24" i="51"/>
  <c r="L24" i="51" s="1"/>
  <c r="M24" i="51"/>
  <c r="J25" i="51"/>
  <c r="K25" i="51"/>
  <c r="M25" i="51"/>
  <c r="J26" i="51"/>
  <c r="K26" i="51"/>
  <c r="L26" i="51" s="1"/>
  <c r="M26" i="51"/>
  <c r="J27" i="51"/>
  <c r="K27" i="51"/>
  <c r="M27" i="51"/>
  <c r="J28" i="51"/>
  <c r="K28" i="51"/>
  <c r="L28" i="51" s="1"/>
  <c r="M28" i="51"/>
  <c r="J29" i="51"/>
  <c r="K29" i="51"/>
  <c r="M29" i="51"/>
  <c r="J30" i="51"/>
  <c r="K30" i="51"/>
  <c r="M30" i="51"/>
  <c r="J31" i="51"/>
  <c r="K31" i="51"/>
  <c r="M31" i="51"/>
  <c r="J32" i="51"/>
  <c r="K32" i="51"/>
  <c r="M32" i="51"/>
  <c r="J33" i="51"/>
  <c r="K33" i="51"/>
  <c r="M33" i="51"/>
  <c r="J34" i="51"/>
  <c r="K34" i="51"/>
  <c r="M34" i="51"/>
  <c r="J35" i="51"/>
  <c r="K35" i="51"/>
  <c r="L35" i="51" s="1"/>
  <c r="M35" i="51"/>
  <c r="J36" i="51"/>
  <c r="K36" i="51"/>
  <c r="M36" i="51"/>
  <c r="J37" i="51"/>
  <c r="K37" i="51"/>
  <c r="M37" i="51"/>
  <c r="J38" i="51"/>
  <c r="K38" i="51"/>
  <c r="M38" i="51"/>
  <c r="J39" i="51"/>
  <c r="K39" i="51"/>
  <c r="M39" i="51"/>
  <c r="J40" i="51"/>
  <c r="K40" i="51"/>
  <c r="M40" i="51"/>
  <c r="J41" i="51"/>
  <c r="K41" i="51"/>
  <c r="L41" i="51" s="1"/>
  <c r="M41" i="51"/>
  <c r="J42" i="51"/>
  <c r="K42" i="51"/>
  <c r="M42" i="51"/>
  <c r="J43" i="51"/>
  <c r="K43" i="51"/>
  <c r="M43" i="51"/>
  <c r="J44" i="51"/>
  <c r="K44" i="51"/>
  <c r="M44" i="51"/>
  <c r="J45" i="51"/>
  <c r="K45" i="51"/>
  <c r="L45" i="51" s="1"/>
  <c r="M45" i="51"/>
  <c r="J46" i="51"/>
  <c r="K46" i="51"/>
  <c r="M46" i="51"/>
  <c r="J47" i="51"/>
  <c r="K47" i="51"/>
  <c r="L47" i="51" s="1"/>
  <c r="M47" i="51"/>
  <c r="J48" i="51"/>
  <c r="K48" i="51"/>
  <c r="M48" i="51"/>
  <c r="J49" i="51"/>
  <c r="K49" i="51"/>
  <c r="M49" i="51"/>
  <c r="J50" i="51"/>
  <c r="K50" i="51"/>
  <c r="M50" i="51"/>
  <c r="J51" i="51"/>
  <c r="K51" i="51"/>
  <c r="L51" i="51" s="1"/>
  <c r="M51" i="51"/>
  <c r="K52" i="51"/>
  <c r="L52" i="51" s="1"/>
  <c r="K53" i="51"/>
  <c r="L53" i="51" s="1"/>
  <c r="L54" i="51"/>
  <c r="K54" i="51"/>
  <c r="K55" i="51"/>
  <c r="L55" i="51" s="1"/>
  <c r="K56" i="51"/>
  <c r="L56" i="51" s="1"/>
  <c r="L57" i="51"/>
  <c r="K57" i="51"/>
  <c r="K58" i="51"/>
  <c r="K59" i="51"/>
  <c r="L59" i="51" s="1"/>
  <c r="L60" i="51"/>
  <c r="K60" i="51"/>
  <c r="K61" i="51"/>
  <c r="L62" i="51"/>
  <c r="K62" i="51"/>
  <c r="K63" i="51"/>
  <c r="L63" i="51" s="1"/>
  <c r="M63" i="51"/>
  <c r="K64" i="51"/>
  <c r="L64" i="51" s="1"/>
  <c r="M64" i="51"/>
  <c r="K65" i="51"/>
  <c r="M65" i="51"/>
  <c r="K66" i="51"/>
  <c r="L66" i="51" s="1"/>
  <c r="K67" i="51"/>
  <c r="L68" i="51"/>
  <c r="K68" i="51"/>
  <c r="K69" i="51"/>
  <c r="L70" i="51"/>
  <c r="K70" i="51"/>
  <c r="O70" i="51"/>
  <c r="P70" i="51" s="1"/>
  <c r="K71" i="51"/>
  <c r="L72" i="51"/>
  <c r="K72" i="51"/>
  <c r="K73" i="51"/>
  <c r="O73" i="51" s="1"/>
  <c r="P73" i="51" s="1"/>
  <c r="K74" i="51"/>
  <c r="K75" i="51"/>
  <c r="L75" i="51" s="1"/>
  <c r="L76" i="51"/>
  <c r="K76" i="51"/>
  <c r="K77" i="51"/>
  <c r="L77" i="51" s="1"/>
  <c r="O77" i="51"/>
  <c r="H20" i="51"/>
  <c r="H41" i="51"/>
  <c r="O41" i="51" s="1"/>
  <c r="H15" i="51"/>
  <c r="H16" i="51"/>
  <c r="H17" i="51"/>
  <c r="H18" i="51"/>
  <c r="H19" i="51"/>
  <c r="H21" i="51"/>
  <c r="H22" i="51"/>
  <c r="H23" i="51"/>
  <c r="O23" i="51" s="1"/>
  <c r="H24" i="51"/>
  <c r="O24" i="51" s="1"/>
  <c r="H25" i="51"/>
  <c r="H26" i="51"/>
  <c r="O26" i="51" s="1"/>
  <c r="H27" i="51"/>
  <c r="O27" i="51" s="1"/>
  <c r="H28" i="51"/>
  <c r="H29" i="51"/>
  <c r="O29" i="51" s="1"/>
  <c r="H30" i="51"/>
  <c r="O30" i="51" s="1"/>
  <c r="H31" i="51"/>
  <c r="O31" i="51" s="1"/>
  <c r="H32" i="51"/>
  <c r="H33" i="51"/>
  <c r="O33" i="51" s="1"/>
  <c r="H34" i="51"/>
  <c r="H35" i="51"/>
  <c r="O35" i="51" s="1"/>
  <c r="H36" i="51"/>
  <c r="O36" i="51" s="1"/>
  <c r="H37" i="51"/>
  <c r="O37" i="51" s="1"/>
  <c r="H38" i="51"/>
  <c r="O38" i="51" s="1"/>
  <c r="H39" i="51"/>
  <c r="O39" i="51" s="1"/>
  <c r="H40" i="51"/>
  <c r="O40" i="51" s="1"/>
  <c r="H42" i="51"/>
  <c r="O42" i="51" s="1"/>
  <c r="P42" i="51" s="1"/>
  <c r="H43" i="51"/>
  <c r="H44" i="51"/>
  <c r="O44" i="51" s="1"/>
  <c r="H45" i="51"/>
  <c r="H46" i="51"/>
  <c r="O46" i="51" s="1"/>
  <c r="P46" i="51" s="1"/>
  <c r="H47" i="51"/>
  <c r="H48" i="51"/>
  <c r="O48" i="51" s="1"/>
  <c r="H49" i="51"/>
  <c r="H50" i="51"/>
  <c r="O50" i="51" s="1"/>
  <c r="P50" i="51" s="1"/>
  <c r="H51" i="51"/>
  <c r="H52" i="51"/>
  <c r="H53" i="51"/>
  <c r="H54" i="51"/>
  <c r="H55" i="51"/>
  <c r="O54" i="51" s="1"/>
  <c r="H56" i="51"/>
  <c r="H57" i="51"/>
  <c r="H58" i="51"/>
  <c r="O57" i="51" s="1"/>
  <c r="H59" i="51"/>
  <c r="O58" i="51" s="1"/>
  <c r="P58" i="51" s="1"/>
  <c r="H60" i="51"/>
  <c r="H61" i="51"/>
  <c r="O60" i="51" s="1"/>
  <c r="P60" i="51" s="1"/>
  <c r="H62" i="51"/>
  <c r="H63" i="51"/>
  <c r="H64" i="51"/>
  <c r="O62" i="51" s="1"/>
  <c r="P62" i="51" s="1"/>
  <c r="H65" i="51"/>
  <c r="O63" i="51" s="1"/>
  <c r="H66" i="51"/>
  <c r="H67" i="51"/>
  <c r="H68" i="51"/>
  <c r="H69" i="51"/>
  <c r="O66" i="51" s="1"/>
  <c r="P66" i="51" s="1"/>
  <c r="H70" i="51"/>
  <c r="H71" i="51"/>
  <c r="O68" i="51" s="1"/>
  <c r="P68" i="51" s="1"/>
  <c r="H72" i="51"/>
  <c r="H73" i="51"/>
  <c r="H74" i="51"/>
  <c r="H75" i="51"/>
  <c r="O72" i="51" s="1"/>
  <c r="P72" i="51" s="1"/>
  <c r="H76" i="51"/>
  <c r="H77" i="51"/>
  <c r="H78" i="51"/>
  <c r="H79" i="51"/>
  <c r="H80" i="51"/>
  <c r="H81" i="51"/>
  <c r="H82" i="51"/>
  <c r="O76" i="51" s="1"/>
  <c r="P76" i="51" s="1"/>
  <c r="H141" i="51" l="1"/>
  <c r="O21" i="51"/>
  <c r="P21" i="51" s="1"/>
  <c r="P16" i="51"/>
  <c r="P77" i="51"/>
  <c r="P63" i="51"/>
  <c r="O65" i="51"/>
  <c r="P65" i="51" s="1"/>
  <c r="O61" i="51"/>
  <c r="P61" i="51" s="1"/>
  <c r="O75" i="51"/>
  <c r="P75" i="51" s="1"/>
  <c r="O74" i="51"/>
  <c r="P74" i="51" s="1"/>
  <c r="O69" i="51"/>
  <c r="P69" i="51" s="1"/>
  <c r="O45" i="51"/>
  <c r="P45" i="51" s="1"/>
  <c r="O28" i="51"/>
  <c r="P28" i="51" s="1"/>
  <c r="O49" i="51"/>
  <c r="P49" i="51" s="1"/>
  <c r="O32" i="51"/>
  <c r="P32" i="51" s="1"/>
  <c r="P48" i="51"/>
  <c r="P31" i="51"/>
  <c r="P33" i="51"/>
  <c r="O25" i="51"/>
  <c r="P25" i="51" s="1"/>
  <c r="P40" i="51"/>
  <c r="P36" i="51"/>
  <c r="P24" i="51"/>
  <c r="P37" i="51"/>
  <c r="P39" i="51"/>
  <c r="P35" i="51"/>
  <c r="P23" i="51"/>
  <c r="P41" i="51"/>
  <c r="P44" i="51"/>
  <c r="P27" i="51"/>
  <c r="P29" i="51"/>
  <c r="P54" i="51"/>
  <c r="O43" i="51"/>
  <c r="P43" i="51" s="1"/>
  <c r="O34" i="51"/>
  <c r="O22" i="51"/>
  <c r="P22" i="51" s="1"/>
  <c r="O20" i="51"/>
  <c r="P20" i="51" s="1"/>
  <c r="O19" i="51"/>
  <c r="P19" i="51" s="1"/>
  <c r="O17" i="51"/>
  <c r="P17" i="51" s="1"/>
  <c r="O15" i="51"/>
  <c r="P15" i="51" s="1"/>
  <c r="P81" i="51"/>
  <c r="P38" i="51"/>
  <c r="P30" i="51"/>
  <c r="P26" i="51"/>
  <c r="L73" i="51"/>
  <c r="N73" i="51" s="1"/>
  <c r="O71" i="51"/>
  <c r="P71" i="51" s="1"/>
  <c r="L69" i="51"/>
  <c r="O67" i="51"/>
  <c r="P67" i="51" s="1"/>
  <c r="L65" i="51"/>
  <c r="L61" i="51"/>
  <c r="O59" i="51"/>
  <c r="P59" i="51" s="1"/>
  <c r="O56" i="51"/>
  <c r="P56" i="51" s="1"/>
  <c r="O52" i="51"/>
  <c r="P52" i="51" s="1"/>
  <c r="L87" i="51"/>
  <c r="N87" i="51" s="1"/>
  <c r="O85" i="51"/>
  <c r="P85" i="51" s="1"/>
  <c r="O82" i="51"/>
  <c r="P82" i="51" s="1"/>
  <c r="L79" i="51"/>
  <c r="O55" i="51"/>
  <c r="P55" i="51" s="1"/>
  <c r="L80" i="51"/>
  <c r="L84" i="51"/>
  <c r="O47" i="51"/>
  <c r="P47" i="51" s="1"/>
  <c r="P80" i="51"/>
  <c r="O51" i="51"/>
  <c r="N51" i="51" s="1"/>
  <c r="O64" i="51"/>
  <c r="P64" i="51" s="1"/>
  <c r="P57" i="51"/>
  <c r="O53" i="51"/>
  <c r="P53" i="51" s="1"/>
  <c r="L50" i="51"/>
  <c r="N50" i="51" s="1"/>
  <c r="L49" i="51"/>
  <c r="L48" i="51"/>
  <c r="N48" i="51" s="1"/>
  <c r="L46" i="51"/>
  <c r="L44" i="51"/>
  <c r="N44" i="51" s="1"/>
  <c r="L43" i="51"/>
  <c r="L42" i="51"/>
  <c r="N42" i="51" s="1"/>
  <c r="L40" i="51"/>
  <c r="N40" i="51" s="1"/>
  <c r="L39" i="51"/>
  <c r="N39" i="51" s="1"/>
  <c r="L38" i="51"/>
  <c r="N38" i="51" s="1"/>
  <c r="L37" i="51"/>
  <c r="N37" i="51" s="1"/>
  <c r="L36" i="51"/>
  <c r="L34" i="51"/>
  <c r="L33" i="51"/>
  <c r="N33" i="51" s="1"/>
  <c r="L32" i="51"/>
  <c r="N32" i="51" s="1"/>
  <c r="L31" i="51"/>
  <c r="L30" i="51"/>
  <c r="N30" i="51" s="1"/>
  <c r="L29" i="51"/>
  <c r="N29" i="51" s="1"/>
  <c r="L27" i="51"/>
  <c r="N27" i="51" s="1"/>
  <c r="L25" i="51"/>
  <c r="L23" i="51"/>
  <c r="N23" i="51" s="1"/>
  <c r="L21" i="51"/>
  <c r="L20" i="51"/>
  <c r="L19" i="51"/>
  <c r="L17" i="51"/>
  <c r="L15" i="51"/>
  <c r="L74" i="51"/>
  <c r="N74" i="51" s="1"/>
  <c r="O84" i="51"/>
  <c r="P84" i="51" s="1"/>
  <c r="P79" i="51"/>
  <c r="L58" i="51"/>
  <c r="P78" i="51"/>
  <c r="O83" i="51"/>
  <c r="P83" i="51" s="1"/>
  <c r="N76" i="51"/>
  <c r="N72" i="51"/>
  <c r="N70" i="51"/>
  <c r="N68" i="51"/>
  <c r="N66" i="51"/>
  <c r="N63" i="51"/>
  <c r="N62" i="51"/>
  <c r="N61" i="51"/>
  <c r="N57" i="51"/>
  <c r="N54" i="51"/>
  <c r="N46" i="51"/>
  <c r="N45" i="51"/>
  <c r="N41" i="51"/>
  <c r="N36" i="51"/>
  <c r="N35" i="51"/>
  <c r="N31" i="51"/>
  <c r="N26" i="51"/>
  <c r="N24" i="51"/>
  <c r="N18" i="51"/>
  <c r="N16" i="51"/>
  <c r="N60" i="51"/>
  <c r="N52" i="51" l="1"/>
  <c r="N21" i="51"/>
  <c r="N22" i="51"/>
  <c r="N67" i="51"/>
  <c r="N28" i="51"/>
  <c r="N75" i="51"/>
  <c r="N25" i="51"/>
  <c r="N49" i="51"/>
  <c r="N65" i="51"/>
  <c r="N15" i="51"/>
  <c r="N69" i="51"/>
  <c r="N55" i="51"/>
  <c r="N56" i="51"/>
  <c r="N34" i="51"/>
  <c r="N43" i="51"/>
  <c r="N47" i="51"/>
  <c r="N71" i="51"/>
  <c r="N64" i="51"/>
  <c r="N19" i="51"/>
  <c r="N20" i="51"/>
  <c r="N53" i="51"/>
  <c r="P51" i="51"/>
  <c r="P34" i="51"/>
  <c r="N17" i="51"/>
  <c r="N59" i="51"/>
  <c r="N58" i="51"/>
  <c r="J124" i="51" l="1"/>
  <c r="L124" i="51" s="1"/>
  <c r="K124" i="51"/>
  <c r="O124" i="51"/>
  <c r="J125" i="51"/>
  <c r="O125" i="51" s="1"/>
  <c r="K125" i="51"/>
  <c r="L125" i="51"/>
  <c r="M125" i="51"/>
  <c r="J126" i="51"/>
  <c r="O126" i="51" s="1"/>
  <c r="K126" i="51"/>
  <c r="J127" i="51"/>
  <c r="L127" i="51" s="1"/>
  <c r="K127" i="51"/>
  <c r="O127" i="51"/>
  <c r="J128" i="51"/>
  <c r="K128" i="51"/>
  <c r="O128" i="51" s="1"/>
  <c r="M128" i="51"/>
  <c r="J129" i="51"/>
  <c r="O129" i="51" s="1"/>
  <c r="K129" i="51"/>
  <c r="L129" i="51"/>
  <c r="J130" i="51"/>
  <c r="O130" i="51" s="1"/>
  <c r="K130" i="51"/>
  <c r="J131" i="51"/>
  <c r="L131" i="51" s="1"/>
  <c r="K131" i="51"/>
  <c r="J132" i="51"/>
  <c r="L132" i="51" s="1"/>
  <c r="K132" i="51"/>
  <c r="O132" i="51" s="1"/>
  <c r="M132" i="51"/>
  <c r="J133" i="51"/>
  <c r="O133" i="51" s="1"/>
  <c r="K133" i="51"/>
  <c r="J134" i="51"/>
  <c r="O134" i="51" s="1"/>
  <c r="K134" i="51"/>
  <c r="G108" i="51"/>
  <c r="G109" i="51"/>
  <c r="G110" i="51"/>
  <c r="G111" i="51"/>
  <c r="G112" i="51"/>
  <c r="G104" i="51"/>
  <c r="G105" i="51"/>
  <c r="G106" i="51"/>
  <c r="G107" i="51"/>
  <c r="G102" i="51"/>
  <c r="G103" i="51"/>
  <c r="M133" i="51" l="1"/>
  <c r="L128" i="51"/>
  <c r="N128" i="51" s="1"/>
  <c r="O131" i="51"/>
  <c r="N131" i="51" s="1"/>
  <c r="L133" i="51"/>
  <c r="N133" i="51" s="1"/>
  <c r="M129" i="51"/>
  <c r="M124" i="51"/>
  <c r="N127" i="51"/>
  <c r="N124" i="51"/>
  <c r="N125" i="51"/>
  <c r="N132" i="51"/>
  <c r="N129" i="51"/>
  <c r="M134" i="51"/>
  <c r="M130" i="51"/>
  <c r="L134" i="51"/>
  <c r="N134" i="51" s="1"/>
  <c r="M131" i="51"/>
  <c r="L130" i="51"/>
  <c r="N130" i="51" s="1"/>
  <c r="M127" i="51"/>
  <c r="L126" i="51"/>
  <c r="N126" i="51" s="1"/>
  <c r="M126" i="51"/>
  <c r="J123" i="51" l="1"/>
  <c r="M123" i="51" s="1"/>
  <c r="K123" i="51"/>
  <c r="G101" i="51" l="1"/>
  <c r="O123" i="51"/>
  <c r="L123" i="51"/>
  <c r="N123" i="51" l="1"/>
  <c r="J58" i="52" l="1"/>
  <c r="Q57" i="52" s="1"/>
  <c r="J59" i="52"/>
  <c r="Q58" i="52" s="1"/>
  <c r="J60" i="52"/>
  <c r="Q59" i="52" s="1"/>
  <c r="J77" i="52"/>
  <c r="J76" i="52"/>
  <c r="J75" i="52"/>
  <c r="Q72" i="52" s="1"/>
  <c r="J74" i="52"/>
  <c r="Q71" i="52" s="1"/>
  <c r="J73" i="52"/>
  <c r="Q70" i="52" s="1"/>
  <c r="J72" i="52"/>
  <c r="Q69" i="52" s="1"/>
  <c r="J71" i="52"/>
  <c r="Q68" i="52" s="1"/>
  <c r="J70" i="52"/>
  <c r="Q67" i="52" s="1"/>
  <c r="J69" i="52"/>
  <c r="Q66" i="52" s="1"/>
  <c r="J68" i="52"/>
  <c r="Q65" i="52" s="1"/>
  <c r="J67" i="52"/>
  <c r="J66" i="52"/>
  <c r="Q64" i="52" s="1"/>
  <c r="J65" i="52"/>
  <c r="Q63" i="52" s="1"/>
  <c r="J64" i="52"/>
  <c r="Q62" i="52" s="1"/>
  <c r="J63" i="52"/>
  <c r="Q61" i="52" s="1"/>
  <c r="J62" i="52"/>
  <c r="J61" i="52"/>
  <c r="Q60" i="52" s="1"/>
  <c r="R62" i="52" l="1"/>
  <c r="P62" i="52"/>
  <c r="R60" i="52"/>
  <c r="P60" i="52"/>
  <c r="R63" i="52"/>
  <c r="P63" i="52"/>
  <c r="R66" i="52"/>
  <c r="P66" i="52"/>
  <c r="R70" i="52"/>
  <c r="P70" i="52"/>
  <c r="R64" i="52"/>
  <c r="P64" i="52"/>
  <c r="R67" i="52"/>
  <c r="P67" i="52"/>
  <c r="R71" i="52"/>
  <c r="P71" i="52"/>
  <c r="R59" i="52"/>
  <c r="P59" i="52"/>
  <c r="R61" i="52"/>
  <c r="P61" i="52"/>
  <c r="R68" i="52"/>
  <c r="P68" i="52"/>
  <c r="R72" i="52"/>
  <c r="P72" i="52"/>
  <c r="R58" i="52"/>
  <c r="P58" i="52"/>
  <c r="R65" i="52"/>
  <c r="P65" i="52"/>
  <c r="R69" i="52"/>
  <c r="P69" i="52"/>
  <c r="R57" i="52"/>
  <c r="P57" i="52"/>
  <c r="L103" i="52"/>
  <c r="N103" i="52" s="1"/>
  <c r="L104" i="52"/>
  <c r="N104" i="52" s="1"/>
  <c r="L105" i="52"/>
  <c r="O105" i="52" s="1"/>
  <c r="L106" i="52"/>
  <c r="N106" i="52" s="1"/>
  <c r="Q105" i="52" l="1"/>
  <c r="Q106" i="52"/>
  <c r="P106" i="52" s="1"/>
  <c r="N105" i="52"/>
  <c r="Q104" i="52"/>
  <c r="P104" i="52" s="1"/>
  <c r="O104" i="52"/>
  <c r="Q103" i="52"/>
  <c r="P103" i="52" s="1"/>
  <c r="O103" i="52"/>
  <c r="O106" i="52"/>
  <c r="P105" i="52" l="1"/>
  <c r="J55" i="52" l="1"/>
  <c r="Q54" i="52" s="1"/>
  <c r="J56" i="52"/>
  <c r="Q55" i="52" s="1"/>
  <c r="J57" i="52"/>
  <c r="Q56" i="52" s="1"/>
  <c r="R56" i="52" l="1"/>
  <c r="P56" i="52"/>
  <c r="R55" i="52"/>
  <c r="P55" i="52"/>
  <c r="R54" i="52"/>
  <c r="P54" i="52"/>
  <c r="K117" i="51"/>
  <c r="K118" i="51"/>
  <c r="K119" i="51"/>
  <c r="K120" i="51"/>
  <c r="K121" i="51"/>
  <c r="K122" i="51"/>
  <c r="J117" i="51"/>
  <c r="M117" i="51" s="1"/>
  <c r="J118" i="51"/>
  <c r="M118" i="51" s="1"/>
  <c r="J119" i="51"/>
  <c r="J120" i="51"/>
  <c r="J121" i="51"/>
  <c r="M121" i="51" s="1"/>
  <c r="J122" i="51"/>
  <c r="M122" i="51" s="1"/>
  <c r="G100" i="51"/>
  <c r="G98" i="51"/>
  <c r="G99" i="51"/>
  <c r="L120" i="51" l="1"/>
  <c r="L119" i="51"/>
  <c r="L122" i="51"/>
  <c r="L118" i="51"/>
  <c r="M120" i="51"/>
  <c r="L121" i="51"/>
  <c r="L117" i="51"/>
  <c r="M119" i="51"/>
  <c r="O121" i="51"/>
  <c r="O122" i="51"/>
  <c r="O120" i="51"/>
  <c r="N120" i="51" l="1"/>
  <c r="N122" i="51"/>
  <c r="N121" i="51"/>
  <c r="G96" i="51"/>
  <c r="G97" i="51"/>
  <c r="G95" i="51"/>
  <c r="I96" i="52" l="1"/>
  <c r="I97" i="52"/>
  <c r="I95" i="52"/>
  <c r="C15" i="52" l="1"/>
  <c r="C16" i="52" l="1"/>
  <c r="K15" i="52"/>
  <c r="J26" i="52"/>
  <c r="J27" i="52"/>
  <c r="J28" i="52"/>
  <c r="J29" i="52"/>
  <c r="J30" i="52"/>
  <c r="J31" i="52"/>
  <c r="J32" i="52"/>
  <c r="J33" i="52"/>
  <c r="J34" i="52"/>
  <c r="J35" i="52"/>
  <c r="J36" i="52"/>
  <c r="Q36" i="52" s="1"/>
  <c r="J37" i="52"/>
  <c r="J38" i="52"/>
  <c r="Q38" i="52" s="1"/>
  <c r="J39" i="52"/>
  <c r="J40" i="52"/>
  <c r="Q40" i="52" s="1"/>
  <c r="J41" i="52"/>
  <c r="Q41" i="52" s="1"/>
  <c r="J42" i="52"/>
  <c r="Q42" i="52" s="1"/>
  <c r="J43" i="52"/>
  <c r="Q43" i="52" s="1"/>
  <c r="J44" i="52"/>
  <c r="Q44" i="52" s="1"/>
  <c r="J45" i="52"/>
  <c r="J46" i="52"/>
  <c r="Q46" i="52" s="1"/>
  <c r="J47" i="52"/>
  <c r="Q47" i="52" s="1"/>
  <c r="J48" i="52"/>
  <c r="Q48" i="52" s="1"/>
  <c r="J49" i="52"/>
  <c r="Q49" i="52" s="1"/>
  <c r="J50" i="52"/>
  <c r="Q50" i="52" s="1"/>
  <c r="J51" i="52"/>
  <c r="J52" i="52"/>
  <c r="Q51" i="52" s="1"/>
  <c r="J53" i="52"/>
  <c r="Q52" i="52" s="1"/>
  <c r="J54" i="52"/>
  <c r="Q53" i="52" s="1"/>
  <c r="I117" i="51"/>
  <c r="I118" i="51" s="1"/>
  <c r="I119" i="51" s="1"/>
  <c r="I120" i="51" s="1"/>
  <c r="I121" i="51" s="1"/>
  <c r="I122" i="51" s="1"/>
  <c r="I123" i="51" s="1"/>
  <c r="I124" i="51" s="1"/>
  <c r="I125" i="51" s="1"/>
  <c r="I126" i="51" s="1"/>
  <c r="I127" i="51" s="1"/>
  <c r="I128" i="51" s="1"/>
  <c r="I129" i="51" s="1"/>
  <c r="I130" i="51" s="1"/>
  <c r="I131" i="51" s="1"/>
  <c r="I132" i="51" s="1"/>
  <c r="I133" i="51" s="1"/>
  <c r="I134" i="51" s="1"/>
  <c r="C17" i="52" l="1"/>
  <c r="K16" i="52"/>
  <c r="R50" i="52"/>
  <c r="P50" i="52"/>
  <c r="R52" i="52"/>
  <c r="P52" i="52"/>
  <c r="R49" i="52"/>
  <c r="P49" i="52"/>
  <c r="Q45" i="52"/>
  <c r="P45" i="52" s="1"/>
  <c r="R41" i="52"/>
  <c r="P41" i="52"/>
  <c r="Q37" i="52"/>
  <c r="P37" i="52" s="1"/>
  <c r="Q33" i="52"/>
  <c r="P33" i="52" s="1"/>
  <c r="Q29" i="52"/>
  <c r="P29" i="52" s="1"/>
  <c r="R53" i="52"/>
  <c r="P53" i="52"/>
  <c r="R44" i="52"/>
  <c r="P44" i="52"/>
  <c r="R40" i="52"/>
  <c r="P40" i="52"/>
  <c r="R36" i="52"/>
  <c r="P36" i="52"/>
  <c r="Q32" i="52"/>
  <c r="P32" i="52" s="1"/>
  <c r="Q28" i="52"/>
  <c r="P28" i="52" s="1"/>
  <c r="R51" i="52"/>
  <c r="P51" i="52"/>
  <c r="R48" i="52"/>
  <c r="P48" i="52"/>
  <c r="R47" i="52"/>
  <c r="P47" i="52"/>
  <c r="R43" i="52"/>
  <c r="P43" i="52"/>
  <c r="Q39" i="52"/>
  <c r="P39" i="52" s="1"/>
  <c r="Q35" i="52"/>
  <c r="P35" i="52" s="1"/>
  <c r="Q31" i="52"/>
  <c r="P31" i="52" s="1"/>
  <c r="Q27" i="52"/>
  <c r="P27" i="52" s="1"/>
  <c r="R46" i="52"/>
  <c r="P46" i="52"/>
  <c r="R42" i="52"/>
  <c r="P42" i="52"/>
  <c r="R38" i="52"/>
  <c r="P38" i="52"/>
  <c r="Q34" i="52"/>
  <c r="P34" i="52" s="1"/>
  <c r="Q30" i="52"/>
  <c r="P30" i="52" s="1"/>
  <c r="Q26" i="52"/>
  <c r="P26" i="52" s="1"/>
  <c r="J19" i="52"/>
  <c r="C18" i="52" l="1"/>
  <c r="K17" i="52"/>
  <c r="R26" i="52"/>
  <c r="R34" i="52"/>
  <c r="R27" i="52"/>
  <c r="R35" i="52"/>
  <c r="R28" i="52"/>
  <c r="R29" i="52"/>
  <c r="R37" i="52"/>
  <c r="R45" i="52"/>
  <c r="R30" i="52"/>
  <c r="R31" i="52"/>
  <c r="R39" i="52"/>
  <c r="R32" i="52"/>
  <c r="R33" i="52"/>
  <c r="Q19" i="52"/>
  <c r="R19" i="52" s="1"/>
  <c r="J20" i="52"/>
  <c r="J21" i="52"/>
  <c r="I94" i="52"/>
  <c r="J18" i="52"/>
  <c r="Q18" i="52" l="1"/>
  <c r="P18" i="52" s="1"/>
  <c r="C19" i="52"/>
  <c r="K18" i="52"/>
  <c r="Q20" i="52"/>
  <c r="P20" i="52" s="1"/>
  <c r="Q21" i="52"/>
  <c r="P21" i="52" s="1"/>
  <c r="P19" i="52"/>
  <c r="E141" i="51"/>
  <c r="C20" i="52" l="1"/>
  <c r="K19" i="52"/>
  <c r="R18" i="52"/>
  <c r="R21" i="52"/>
  <c r="R20" i="52"/>
  <c r="A15" i="51"/>
  <c r="I15" i="51" s="1"/>
  <c r="K20" i="52" l="1"/>
  <c r="C21" i="52"/>
  <c r="A16" i="51"/>
  <c r="I16" i="51" s="1"/>
  <c r="K21" i="52" l="1"/>
  <c r="C22" i="52"/>
  <c r="A17" i="51"/>
  <c r="C23" i="52" l="1"/>
  <c r="K22" i="52"/>
  <c r="J17" i="52"/>
  <c r="Q17" i="52" l="1"/>
  <c r="P17" i="52" s="1"/>
  <c r="C24" i="52"/>
  <c r="K23" i="52"/>
  <c r="A18" i="51"/>
  <c r="K24" i="52" l="1"/>
  <c r="C25" i="52"/>
  <c r="R17" i="52"/>
  <c r="A19" i="51"/>
  <c r="K25" i="52" l="1"/>
  <c r="C26" i="52"/>
  <c r="A20" i="51"/>
  <c r="C27" i="52" l="1"/>
  <c r="K26" i="52"/>
  <c r="XFD20" i="51"/>
  <c r="A21" i="51"/>
  <c r="C28" i="52" l="1"/>
  <c r="K27" i="52"/>
  <c r="A22" i="51"/>
  <c r="K28" i="52" l="1"/>
  <c r="C29" i="52"/>
  <c r="A23" i="51"/>
  <c r="J116" i="51"/>
  <c r="K29" i="52" l="1"/>
  <c r="C30" i="52"/>
  <c r="A24" i="51"/>
  <c r="C31" i="52" l="1"/>
  <c r="K30" i="52"/>
  <c r="A25" i="51"/>
  <c r="C32" i="52" l="1"/>
  <c r="K31" i="52"/>
  <c r="A26" i="51"/>
  <c r="K32" i="52" l="1"/>
  <c r="C33" i="52"/>
  <c r="A27" i="51"/>
  <c r="K33" i="52" l="1"/>
  <c r="C34" i="52"/>
  <c r="A28" i="51"/>
  <c r="K34" i="52" l="1"/>
  <c r="C35" i="52"/>
  <c r="A29" i="51"/>
  <c r="C36" i="52" l="1"/>
  <c r="K35" i="52"/>
  <c r="A30" i="51"/>
  <c r="K36" i="52" l="1"/>
  <c r="C37" i="52"/>
  <c r="A31" i="51"/>
  <c r="O119" i="51"/>
  <c r="N119" i="51" s="1"/>
  <c r="O118" i="51"/>
  <c r="N118" i="51" s="1"/>
  <c r="O117" i="51"/>
  <c r="N117" i="51" s="1"/>
  <c r="K37" i="52" l="1"/>
  <c r="C38" i="52"/>
  <c r="A32" i="51"/>
  <c r="C39" i="52" l="1"/>
  <c r="K38" i="52"/>
  <c r="A33" i="51"/>
  <c r="C40" i="52" l="1"/>
  <c r="K39" i="52"/>
  <c r="A34" i="51"/>
  <c r="J16" i="52"/>
  <c r="Q16" i="52" l="1"/>
  <c r="P16" i="52" s="1"/>
  <c r="K40" i="52"/>
  <c r="C41" i="52"/>
  <c r="A35" i="51"/>
  <c r="K41" i="52" l="1"/>
  <c r="C42" i="52"/>
  <c r="R16" i="52"/>
  <c r="A36" i="51"/>
  <c r="C43" i="52" l="1"/>
  <c r="K42" i="52"/>
  <c r="A37" i="51"/>
  <c r="C44" i="52" l="1"/>
  <c r="K43" i="52"/>
  <c r="A38" i="51"/>
  <c r="G113" i="52"/>
  <c r="J15" i="52"/>
  <c r="Q15" i="52" l="1"/>
  <c r="P15" i="52" s="1"/>
  <c r="K44" i="52"/>
  <c r="C45" i="52"/>
  <c r="A39" i="51"/>
  <c r="K45" i="52" l="1"/>
  <c r="C46" i="52"/>
  <c r="R15" i="52"/>
  <c r="A40" i="51"/>
  <c r="K46" i="52" l="1"/>
  <c r="C47" i="52"/>
  <c r="A41" i="51"/>
  <c r="L102" i="52"/>
  <c r="C48" i="52" l="1"/>
  <c r="K47" i="52"/>
  <c r="A42" i="51"/>
  <c r="Q102" i="52"/>
  <c r="Q108" i="52" s="1"/>
  <c r="N102" i="52"/>
  <c r="N108" i="52" s="1"/>
  <c r="I93" i="52"/>
  <c r="J23" i="52"/>
  <c r="J24" i="52"/>
  <c r="J25" i="52"/>
  <c r="J22" i="52"/>
  <c r="K48" i="52" l="1"/>
  <c r="C49" i="52"/>
  <c r="Q25" i="52"/>
  <c r="P25" i="52" s="1"/>
  <c r="Q24" i="52"/>
  <c r="P24" i="52" s="1"/>
  <c r="Q23" i="52"/>
  <c r="P23" i="52" s="1"/>
  <c r="Q22" i="52"/>
  <c r="R22" i="52" s="1"/>
  <c r="A43" i="51"/>
  <c r="K116" i="51"/>
  <c r="L116" i="51" s="1"/>
  <c r="L136" i="51" s="1"/>
  <c r="G94" i="51"/>
  <c r="G93" i="51"/>
  <c r="K49" i="52" l="1"/>
  <c r="C50" i="52"/>
  <c r="R24" i="52"/>
  <c r="R23" i="52"/>
  <c r="R25" i="52"/>
  <c r="P22" i="52"/>
  <c r="A44" i="51"/>
  <c r="C51" i="52" l="1"/>
  <c r="K50" i="52"/>
  <c r="A45" i="51"/>
  <c r="H14" i="51"/>
  <c r="C52" i="52" l="1"/>
  <c r="K51" i="52"/>
  <c r="A46" i="51"/>
  <c r="K52" i="52" l="1"/>
  <c r="C53" i="52"/>
  <c r="A47" i="51"/>
  <c r="K53" i="52" l="1"/>
  <c r="C54" i="52"/>
  <c r="A48" i="51"/>
  <c r="K54" i="52" l="1"/>
  <c r="C55" i="52"/>
  <c r="A49" i="51"/>
  <c r="O116" i="51"/>
  <c r="O136" i="51" s="1"/>
  <c r="C56" i="52" l="1"/>
  <c r="K55" i="52"/>
  <c r="A50" i="51"/>
  <c r="J161" i="51"/>
  <c r="K56" i="52" l="1"/>
  <c r="C57" i="52"/>
  <c r="A51" i="51"/>
  <c r="K57" i="52" l="1"/>
  <c r="C58" i="52"/>
  <c r="A52" i="51"/>
  <c r="C59" i="52" l="1"/>
  <c r="K58" i="52"/>
  <c r="A53" i="51"/>
  <c r="C60" i="52" l="1"/>
  <c r="K59" i="52"/>
  <c r="A54" i="51"/>
  <c r="K60" i="52" l="1"/>
  <c r="C61" i="52"/>
  <c r="A55" i="51"/>
  <c r="E77" i="48"/>
  <c r="N115" i="52"/>
  <c r="K61" i="52" l="1"/>
  <c r="C62" i="52"/>
  <c r="A56" i="51"/>
  <c r="O102" i="52"/>
  <c r="N99" i="52"/>
  <c r="J14" i="52"/>
  <c r="Q14" i="52" s="1"/>
  <c r="P14" i="52" l="1"/>
  <c r="Q99" i="52"/>
  <c r="Q113" i="52" s="1"/>
  <c r="K62" i="52"/>
  <c r="C63" i="52"/>
  <c r="A57" i="51"/>
  <c r="J113" i="52"/>
  <c r="N113" i="52"/>
  <c r="N110" i="52"/>
  <c r="C64" i="52" l="1"/>
  <c r="K63" i="52"/>
  <c r="A58" i="51"/>
  <c r="Q114" i="52"/>
  <c r="R14" i="52"/>
  <c r="P102" i="52"/>
  <c r="K64" i="52" l="1"/>
  <c r="C65" i="52"/>
  <c r="A59" i="51"/>
  <c r="M116" i="51"/>
  <c r="M14" i="51"/>
  <c r="K14" i="51"/>
  <c r="I14" i="51"/>
  <c r="K65" i="52" l="1"/>
  <c r="C66" i="52"/>
  <c r="A60" i="51"/>
  <c r="L14" i="51"/>
  <c r="L113" i="51" s="1"/>
  <c r="O14" i="51"/>
  <c r="K66" i="52" l="1"/>
  <c r="C67" i="52"/>
  <c r="O113" i="51"/>
  <c r="O141" i="51" s="1"/>
  <c r="L138" i="51"/>
  <c r="A61" i="51"/>
  <c r="P14" i="51"/>
  <c r="N116" i="51"/>
  <c r="N14" i="51"/>
  <c r="C68" i="52" l="1"/>
  <c r="K67" i="52"/>
  <c r="A62" i="51"/>
  <c r="N114" i="52"/>
  <c r="K68" i="52" l="1"/>
  <c r="C69" i="52"/>
  <c r="A63" i="51"/>
  <c r="I92" i="52"/>
  <c r="K69" i="52" l="1"/>
  <c r="C70" i="52"/>
  <c r="A64" i="51"/>
  <c r="L142" i="51"/>
  <c r="C71" i="52" l="1"/>
  <c r="K70" i="52"/>
  <c r="A65" i="51"/>
  <c r="D71" i="48"/>
  <c r="N111" i="52"/>
  <c r="O114" i="52" s="1"/>
  <c r="C72" i="52" l="1"/>
  <c r="K71" i="52"/>
  <c r="A66" i="51"/>
  <c r="K72" i="52" l="1"/>
  <c r="C73" i="52"/>
  <c r="A67" i="51"/>
  <c r="K73" i="52" l="1"/>
  <c r="C74" i="52"/>
  <c r="A68" i="51"/>
  <c r="K74" i="52" l="1"/>
  <c r="C75" i="52"/>
  <c r="A69" i="51"/>
  <c r="C76" i="52" l="1"/>
  <c r="K75" i="52"/>
  <c r="A70" i="51"/>
  <c r="K76" i="52" l="1"/>
  <c r="C77" i="52"/>
  <c r="A71" i="51"/>
  <c r="K77" i="52" l="1"/>
  <c r="C78" i="52"/>
  <c r="A72" i="51"/>
  <c r="C79" i="52" l="1"/>
  <c r="K78" i="52"/>
  <c r="A73" i="51"/>
  <c r="C80" i="52" l="1"/>
  <c r="K79" i="52"/>
  <c r="A74" i="51"/>
  <c r="K80" i="52" l="1"/>
  <c r="C81" i="52"/>
  <c r="A75" i="51"/>
  <c r="K81" i="52" l="1"/>
  <c r="C82" i="52"/>
  <c r="A76" i="51"/>
  <c r="K82" i="52" l="1"/>
  <c r="C83" i="52"/>
  <c r="A77" i="51"/>
  <c r="C84" i="52" l="1"/>
  <c r="K83" i="52"/>
  <c r="A78" i="51"/>
  <c r="J115" i="52"/>
  <c r="K84" i="52" l="1"/>
  <c r="C85" i="52"/>
  <c r="A79" i="51"/>
  <c r="K85" i="52" l="1"/>
  <c r="C86" i="52"/>
  <c r="A80" i="51"/>
  <c r="C87" i="52" l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K86" i="52"/>
  <c r="A81" i="51"/>
  <c r="A82" i="51" l="1"/>
  <c r="A83" i="51"/>
  <c r="A84" i="51" l="1"/>
  <c r="A85" i="51" l="1"/>
  <c r="A86" i="51" l="1"/>
  <c r="A87" i="51" l="1"/>
  <c r="A88" i="51" l="1"/>
  <c r="O142" i="51"/>
  <c r="D27" i="48"/>
  <c r="L139" i="51"/>
  <c r="M142" i="51" s="1"/>
  <c r="A89" i="51" l="1"/>
  <c r="A90" i="51" l="1"/>
  <c r="A91" i="51" l="1"/>
  <c r="A92" i="51" l="1"/>
  <c r="A93" i="51" l="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105" i="51" s="1"/>
  <c r="A106" i="51" s="1"/>
  <c r="A107" i="51" s="1"/>
  <c r="A108" i="51" s="1"/>
  <c r="A109" i="51" s="1"/>
  <c r="A110" i="51" s="1"/>
  <c r="A111" i="51" s="1"/>
  <c r="A112" i="51" s="1"/>
  <c r="H143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62812</author>
  </authors>
  <commentList>
    <comment ref="C11" authorId="0" shapeId="0" xr:uid="{BD21BFB4-3BE6-4DD9-B4C0-7E9ACA22E564}">
      <text>
        <r>
          <rPr>
            <b/>
            <sz val="9"/>
            <color indexed="81"/>
            <rFont val="Tahoma"/>
            <family val="2"/>
          </rPr>
          <t>Jika Data Tidak Ditemukan Coba Digabung tanpan spasi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9753E784-2459-4438-AF44-8CB0DC956E08}">
      <text>
        <r>
          <rPr>
            <b/>
            <sz val="9"/>
            <color indexed="81"/>
            <rFont val="Tahoma"/>
            <family val="2"/>
          </rPr>
          <t>Jika Tidak Ketemu
Ubah :
Aditya Fajar M.Jenie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<sst xmlns="http://schemas.openxmlformats.org/spreadsheetml/2006/main" count="1314" uniqueCount="346">
  <si>
    <t xml:space="preserve">REKAP </t>
  </si>
  <si>
    <t>N0</t>
  </si>
  <si>
    <t>Lahan</t>
  </si>
  <si>
    <t>PEMINJAMAN</t>
  </si>
  <si>
    <t>HARGA</t>
  </si>
  <si>
    <t>No</t>
  </si>
  <si>
    <t>NAMA</t>
  </si>
  <si>
    <t xml:space="preserve">JUMLAH </t>
  </si>
  <si>
    <t>SAT</t>
  </si>
  <si>
    <t>TOTAL</t>
  </si>
  <si>
    <t>PEMBEBANAN</t>
  </si>
  <si>
    <t>NAMA BAHAN</t>
  </si>
  <si>
    <t>JUMLAH</t>
  </si>
  <si>
    <t>HARGA SAT</t>
  </si>
  <si>
    <t>Pemakaian Bahan</t>
  </si>
  <si>
    <t>Op. Alat Berat</t>
  </si>
  <si>
    <t>Rekap Biaya</t>
  </si>
  <si>
    <t>Rp.</t>
  </si>
  <si>
    <t>Diperiksa Oleh</t>
  </si>
  <si>
    <t>Siti Hamidah</t>
  </si>
  <si>
    <t>Kasie. Analisa</t>
  </si>
  <si>
    <t>Diketahui Oleh</t>
  </si>
  <si>
    <t>Dibuat  Oleh</t>
  </si>
  <si>
    <t>Biaya Produksi</t>
  </si>
  <si>
    <t>Kg</t>
  </si>
  <si>
    <t>Pelaksana Analisa</t>
  </si>
  <si>
    <t>Salamuddin Nahar</t>
  </si>
  <si>
    <t>Area Manager PT. DMA</t>
  </si>
  <si>
    <t>Angkutan TBS</t>
  </si>
  <si>
    <t>General Manager Regional Sampit</t>
  </si>
  <si>
    <t>Biaya Umum (Premi &amp; Lembur)</t>
  </si>
  <si>
    <t xml:space="preserve">Jumlah </t>
  </si>
  <si>
    <t>Tempat</t>
  </si>
  <si>
    <t>Total</t>
  </si>
  <si>
    <t>Hormat Kami</t>
  </si>
  <si>
    <t>Disetujui oleh</t>
  </si>
  <si>
    <t>Kepada Yth,</t>
  </si>
  <si>
    <t>Di-</t>
  </si>
  <si>
    <t>Dengan Hormat</t>
  </si>
  <si>
    <t>Kebun</t>
  </si>
  <si>
    <t>Keterangan</t>
  </si>
  <si>
    <t>Adapun perincian pemakaian bahan terlampir.</t>
  </si>
  <si>
    <t>Demikian kami sampaikan, atas perhatian dan kerja samanya kami ucapkan terimakasih</t>
  </si>
  <si>
    <t>Tembusan:</t>
  </si>
  <si>
    <t>1.</t>
  </si>
  <si>
    <t>File</t>
  </si>
  <si>
    <t xml:space="preserve">No                     </t>
  </si>
  <si>
    <t xml:space="preserve">Lampiran          </t>
  </si>
  <si>
    <t xml:space="preserve">Perihal         </t>
  </si>
  <si>
    <t>Dump Truck</t>
  </si>
  <si>
    <t>Nanang Yuliyanto</t>
  </si>
  <si>
    <t>Ka Biro Regional Sampit</t>
  </si>
  <si>
    <t>Ketua Koperasi Produsen Pelangi Tanggul Harapan</t>
  </si>
  <si>
    <t>Bersama Ini kami sampaikan pemakaian bahan Koperasi Produsen Pelangi Tanggul Harapan</t>
  </si>
  <si>
    <t>Kop Produsen Pelangi Tanggul Harapan</t>
  </si>
  <si>
    <t xml:space="preserve"> : Terlampir</t>
  </si>
  <si>
    <t>Ltr</t>
  </si>
  <si>
    <t>Ketua Koperasi Produsen Natai Berkah Mandiri</t>
  </si>
  <si>
    <t>Bersama Ini kami sampaikan pemakaian bahan Koperasi Produsen Natai Berkah Mandiri</t>
  </si>
  <si>
    <t>Kop Produsen Natai Berkah Mandiri</t>
  </si>
  <si>
    <t>Plasma II</t>
  </si>
  <si>
    <t>Total Biaya Plasma II</t>
  </si>
  <si>
    <t>Plasma I</t>
  </si>
  <si>
    <t>Bahan Plasma I</t>
  </si>
  <si>
    <t>Afrekening Plasma I</t>
  </si>
  <si>
    <t>Total Biaya Plasma I</t>
  </si>
  <si>
    <r>
      <t xml:space="preserve"> : </t>
    </r>
    <r>
      <rPr>
        <b/>
        <i/>
        <u/>
        <sz val="14"/>
        <color theme="1"/>
        <rFont val="Times New Roman"/>
        <family val="1"/>
      </rPr>
      <t>Tagihan Pemakaian Bahan</t>
    </r>
  </si>
  <si>
    <t xml:space="preserve"> </t>
  </si>
  <si>
    <t>Supremo</t>
  </si>
  <si>
    <t>Trendy</t>
  </si>
  <si>
    <t>Sawitri</t>
  </si>
  <si>
    <t xml:space="preserve">Selisih 24.700.000 </t>
  </si>
  <si>
    <t>: Kas sampit</t>
  </si>
  <si>
    <t>Direktur Utama Regional Sampit</t>
  </si>
  <si>
    <t>Direktur Operasional Regional Sampit</t>
  </si>
  <si>
    <t xml:space="preserve">Biaya Perawatan </t>
  </si>
  <si>
    <t>Share Biaya Pemeliharaan Kendaraan</t>
  </si>
  <si>
    <t>Share Biaya Mesin &amp; Instalasi</t>
  </si>
  <si>
    <t>Share Biaya Pemeliharaan Bangunan</t>
  </si>
  <si>
    <t>Share Biaya Kantor Kebun &amp; Lembur</t>
  </si>
  <si>
    <t>Biaya Umum Traksi</t>
  </si>
  <si>
    <t>Share Biaya Sosial</t>
  </si>
  <si>
    <t>Share Biaya Gaji Karyawan</t>
  </si>
  <si>
    <t>Triester</t>
  </si>
  <si>
    <t>Cc</t>
  </si>
  <si>
    <t>Supretox</t>
  </si>
  <si>
    <t>T.Langsir TBS</t>
  </si>
  <si>
    <t>Gr</t>
  </si>
  <si>
    <t>Bahan Plasma II</t>
  </si>
  <si>
    <t>Biaya Share</t>
  </si>
  <si>
    <t>Weed.Solution</t>
  </si>
  <si>
    <t>Weed Solution</t>
  </si>
  <si>
    <t>Hm</t>
  </si>
  <si>
    <t>D.Langsir TBS</t>
  </si>
  <si>
    <t>T.Loading Tanah</t>
  </si>
  <si>
    <t>T.Rolling Excavator</t>
  </si>
  <si>
    <t>R.Ampar Batu</t>
  </si>
  <si>
    <t>Traktor</t>
  </si>
  <si>
    <t>T.Loading Batu</t>
  </si>
  <si>
    <t>HVS A4 70GR</t>
  </si>
  <si>
    <t>HVS F4 70GR</t>
  </si>
  <si>
    <t>RIM</t>
  </si>
  <si>
    <t>PAK</t>
  </si>
  <si>
    <t>PCS</t>
  </si>
  <si>
    <t>KTK</t>
  </si>
  <si>
    <t>SET</t>
  </si>
  <si>
    <t>SOKLIN LANTAI</t>
  </si>
  <si>
    <t>STELLA MATIC REFILL</t>
  </si>
  <si>
    <t>TISSU 900GR</t>
  </si>
  <si>
    <t>DAIA</t>
  </si>
  <si>
    <t>WIPOL</t>
  </si>
  <si>
    <t>MAMA LEMON</t>
  </si>
  <si>
    <t>BTL</t>
  </si>
  <si>
    <t>UNIT</t>
  </si>
  <si>
    <t>Batu Bigros</t>
  </si>
  <si>
    <t>Rit</t>
  </si>
  <si>
    <t>T.Langsir Brondolan</t>
  </si>
  <si>
    <t>Vibro</t>
  </si>
  <si>
    <t>Excavator</t>
  </si>
  <si>
    <t xml:space="preserve"> TAGIHAN BIAYA KEBUN PLASMA I PERIODE JANUARI 2025</t>
  </si>
  <si>
    <t>POMPA TRANSFER BBM FLOWMETER DIGITAL SOLAR AC 220V</t>
  </si>
  <si>
    <t>CHECKING KRANI PANEN</t>
  </si>
  <si>
    <t>PENGANTAR TBS</t>
  </si>
  <si>
    <t>DATA KWALITAS TBS</t>
  </si>
  <si>
    <t>PERAWATAN</t>
  </si>
  <si>
    <t>ANCAK PANEN</t>
  </si>
  <si>
    <t>PENGEMBALIAN BARANG BEKAS</t>
  </si>
  <si>
    <t>SPB</t>
  </si>
  <si>
    <t>PASS KELUAR</t>
  </si>
  <si>
    <t>LAP. PROGRAM LERJA DIVISI</t>
  </si>
  <si>
    <t>BPBG</t>
  </si>
  <si>
    <t>PEN KENKO</t>
  </si>
  <si>
    <t>KERTAS CD 500</t>
  </si>
  <si>
    <t>KERTAS BUFFALO</t>
  </si>
  <si>
    <t>TINTA DP 40</t>
  </si>
  <si>
    <t>TINTA DP 41</t>
  </si>
  <si>
    <t>FRAME PRESIDEN</t>
  </si>
  <si>
    <t>FRAME GARUDA</t>
  </si>
  <si>
    <t>ODNER FOLIO KINGCO</t>
  </si>
  <si>
    <t>MATERAI 10000</t>
  </si>
  <si>
    <t xml:space="preserve">REMOVER </t>
  </si>
  <si>
    <t>MAP TRANSPARANT</t>
  </si>
  <si>
    <t>PLASTIK LAMINATING F4</t>
  </si>
  <si>
    <t>PELUBANG KERTAS F4</t>
  </si>
  <si>
    <t>STAPLES HD 50 MAX</t>
  </si>
  <si>
    <t>PENGGARIS BESI</t>
  </si>
  <si>
    <t>GUNTING</t>
  </si>
  <si>
    <t>POST IT</t>
  </si>
  <si>
    <t>MESIN POMPA AIR PANASONIC GP 200 JXK NON OTOMATIS</t>
  </si>
  <si>
    <t>RAPIKA</t>
  </si>
  <si>
    <t>SIKAT GIGI</t>
  </si>
  <si>
    <t>SHAMPO KECIL</t>
  </si>
  <si>
    <t>SABUN MANDI</t>
  </si>
  <si>
    <t>SAPU LIDI</t>
  </si>
  <si>
    <t>BAYCLIN 1 LTR</t>
  </si>
  <si>
    <t>JAM DINDING MIRADO</t>
  </si>
  <si>
    <t>BANTALAN STEMPEL</t>
  </si>
  <si>
    <t>ALAT PRASMANAN</t>
  </si>
  <si>
    <t>PLEDGE 1LTR</t>
  </si>
  <si>
    <t>BAYKLIN 1LTR</t>
  </si>
  <si>
    <t>VIXAL</t>
  </si>
  <si>
    <t>TISSU PASEO SMART</t>
  </si>
  <si>
    <t>PLASTIK SAMPAH</t>
  </si>
  <si>
    <t>KAPUR BARUS</t>
  </si>
  <si>
    <t>HIT SEMPROT</t>
  </si>
  <si>
    <t>CLING</t>
  </si>
  <si>
    <t>BH</t>
  </si>
  <si>
    <t>BKS</t>
  </si>
  <si>
    <t>D.Loading Bongkaran Pondasi Tangki+ Bata</t>
  </si>
  <si>
    <t>T.Menarik unit</t>
  </si>
  <si>
    <t>T.Mengawal Unit</t>
  </si>
  <si>
    <t>T.Langsir Pasir</t>
  </si>
  <si>
    <t>E.Cuci Parit</t>
  </si>
  <si>
    <t>E.Loading Batu</t>
  </si>
  <si>
    <t>E.Buat Tali Air</t>
  </si>
  <si>
    <t>E.Rolling</t>
  </si>
  <si>
    <t>E.Loading Tanah</t>
  </si>
  <si>
    <t>Road Greader</t>
  </si>
  <si>
    <t>R.Ampar Tanah Timbun</t>
  </si>
  <si>
    <t>V.Compak Batu</t>
  </si>
  <si>
    <t>V.Compak Tanah</t>
  </si>
  <si>
    <t>V.Compak Tanah Timbun</t>
  </si>
  <si>
    <t>Kebun, 13 Februari 2025</t>
  </si>
  <si>
    <t xml:space="preserve"> : 01/GM/Kbn-PT.DMA/ II /2025</t>
  </si>
  <si>
    <t>Periode Januari 2025, adalah sebagai berikut:</t>
  </si>
  <si>
    <t>Kebun PT DMA, 13 Februari 2025</t>
  </si>
  <si>
    <t xml:space="preserve"> TAGIHAN BIAYA KEBUN PLASMA II PERIODE JANUARI 2025</t>
  </si>
  <si>
    <t>KIPAS ANGIN BERDIRI</t>
  </si>
  <si>
    <t>TV LED 24" SHARF</t>
  </si>
  <si>
    <t>K. VISION SET PAYUNG</t>
  </si>
  <si>
    <t>Daftar Plasma/Mitra PT.Dwi Mitra Adhiusaha</t>
  </si>
  <si>
    <t>No.</t>
  </si>
  <si>
    <t>Mitra/Plasma</t>
  </si>
  <si>
    <t>Alamat</t>
  </si>
  <si>
    <t>NPWP</t>
  </si>
  <si>
    <t>NIK</t>
  </si>
  <si>
    <t>Cek
NIK</t>
  </si>
  <si>
    <t>%</t>
  </si>
  <si>
    <t>Luas
(M2)</t>
  </si>
  <si>
    <t>Koperasi Produsen Pelangi Tanggul Harapan</t>
  </si>
  <si>
    <t>Tanggul Harapan No.9 Rt.002 Rw.001, Pematang Limau, Kab.Seruyan</t>
  </si>
  <si>
    <t>63.797.965.9-712.000</t>
  </si>
  <si>
    <t>-</t>
  </si>
  <si>
    <t>Koperasi Produsen Berkah Natai Mandiri</t>
  </si>
  <si>
    <t>Jl.Desa Natai Baru Rt.001 Rw.001, Natai Baru, Kab.Kotawaringin Timur</t>
  </si>
  <si>
    <t>63.087.816.3-712.000</t>
  </si>
  <si>
    <t>Koperasi Pracara Mitra Bersama</t>
  </si>
  <si>
    <t>Jl.Jenderal Sudirman KM.45, Natai Baru, Kab.Kotawaringin Timur</t>
  </si>
  <si>
    <t>81.722.395.1-712.000</t>
  </si>
  <si>
    <t>Achram Syah Jenie</t>
  </si>
  <si>
    <t>Puri Bintaro P8.37/5 RTt.008 Rw.009 Sawah Baru, Ciputat, Tangerang Selatan, Banten</t>
  </si>
  <si>
    <t>3674041704650003</t>
  </si>
  <si>
    <t>ü</t>
  </si>
  <si>
    <t>Dharma Irawan Jenie</t>
  </si>
  <si>
    <t>Jl. Hang Lekir VII/16. Rt.008 Rw.006, Gunung, Kebayoran Baru, Jakarta Selatan, DKI Jakarta</t>
  </si>
  <si>
    <t>3174071406570001</t>
  </si>
  <si>
    <t>Dra. Gadis Naindra</t>
  </si>
  <si>
    <t>BSD Blok i3/30 Sektor 1-7. RT.001 Rw.011, Lengkong Gudang Timur, Serpong, Tangerang Selatan, Banten</t>
  </si>
  <si>
    <t>3674015709630001</t>
  </si>
  <si>
    <t>R. Hestu Mawarsid, IR, MBA</t>
  </si>
  <si>
    <t>Jl. Kutisari 5/23 RT 001 RW 001. Kutisari,Tenggus Mejoyo</t>
  </si>
  <si>
    <t>17.135.818.7-615.000</t>
  </si>
  <si>
    <t>3578241410590002</t>
  </si>
  <si>
    <t>Widjojo Adi Hardono</t>
  </si>
  <si>
    <t>Jl. Pinang Merah IV / 24, Pondok Pinang, Kebayoran Lama, Jakarta Selatan</t>
  </si>
  <si>
    <t>59.635.756.6-013.000</t>
  </si>
  <si>
    <t>3174050306700008</t>
  </si>
  <si>
    <t>Aditya Wardhana</t>
  </si>
  <si>
    <t>Jl. Raya Taman Cimanggu No.36,Kedungwaringin,Tanah Sareal, Kota Bogor</t>
  </si>
  <si>
    <t>09.222.759.4-404.000</t>
  </si>
  <si>
    <t>3271060101640004</t>
  </si>
  <si>
    <t>Ir. Ariyanto Rahardjo, B.S</t>
  </si>
  <si>
    <t>09.224.817.8-404.000</t>
  </si>
  <si>
    <t>3271062310610005</t>
  </si>
  <si>
    <t>Nadia Putri Asrini Jenie</t>
  </si>
  <si>
    <t>Jl. Kebon Nanas PWI No.36,Cipinang Besar Selatan,Jatinegara, Jakarta Timur</t>
  </si>
  <si>
    <t>07.290.863.5-002.000</t>
  </si>
  <si>
    <t>3175035109810007</t>
  </si>
  <si>
    <t>Endra Sukmana Haris, SE</t>
  </si>
  <si>
    <t>24.241.437.3-008.000</t>
  </si>
  <si>
    <t>3175031704780013</t>
  </si>
  <si>
    <t>Fajria Putri Adriani</t>
  </si>
  <si>
    <t>59.057.015.6-002.000</t>
  </si>
  <si>
    <t>3175035212850011</t>
  </si>
  <si>
    <t>M.Ikhsan Adriansyah Jenie</t>
  </si>
  <si>
    <t>59.057.014.9-002.000</t>
  </si>
  <si>
    <t>3175032201870006</t>
  </si>
  <si>
    <t>Rini Azwien Jenie</t>
  </si>
  <si>
    <t>04.064.930.3-002.001</t>
  </si>
  <si>
    <t>3175034707560008</t>
  </si>
  <si>
    <t>Jalan Kebon Nanas PWI No.36 Jakarta Timur</t>
  </si>
  <si>
    <t>Ny. Indraswari Haris</t>
  </si>
  <si>
    <t>Jl.Pondok Bambu Asri Barat II/8 Jakarta Timur</t>
  </si>
  <si>
    <t>67.196.626.5-008.000</t>
  </si>
  <si>
    <t>3175075611540006</t>
  </si>
  <si>
    <t>Erna Ratnawaty</t>
  </si>
  <si>
    <t>Jl.Bumi Anggrek Blok H No.15 Bekasi</t>
  </si>
  <si>
    <t>57.773.208.4-435.999</t>
  </si>
  <si>
    <t>3216055909810006</t>
  </si>
  <si>
    <t>Chandra Surya Graha Putra</t>
  </si>
  <si>
    <t>44.627.870.7-002.000</t>
  </si>
  <si>
    <t>7371040611850001</t>
  </si>
  <si>
    <t>B.A Reza Darmawan</t>
  </si>
  <si>
    <t>Jl. Kartika Alam II No.38,Pondok Pinang, Kebayoran Lama</t>
  </si>
  <si>
    <t>3174072606660007</t>
  </si>
  <si>
    <t>DR Tjepy F Aloewie, MSC, SPOK</t>
  </si>
  <si>
    <t>Komp. Depnakertrans No.37, Jakasampurna, Bekasi Barat, Kota Bekasi</t>
  </si>
  <si>
    <t>05.339.070.4-407.000</t>
  </si>
  <si>
    <t>3275020505490012</t>
  </si>
  <si>
    <t>Nalia Indriani</t>
  </si>
  <si>
    <t>Jl. Bambu Duri 7 No.4 Rt.013 Rw.006, Pondok Bambu, Duren Sawit, Jakarta Timur, DKI Jakarta</t>
  </si>
  <si>
    <t>3175074709790012</t>
  </si>
  <si>
    <t>Elise Fauzia Jenie</t>
  </si>
  <si>
    <t>Jl.DR.Muwardi III.24 Rt.002 Rw.003 Grogol, Grogol Petamburan, Jakarta Barat, DKI Jakarta</t>
  </si>
  <si>
    <t>3173025507690008</t>
  </si>
  <si>
    <t>Dimas Mahardhika Jenie</t>
  </si>
  <si>
    <t>Jl. Pelikan III Blok U-6/17 RT.006 Rw.007, Rengas, Ciputat Timur, Tangerang Selatan, Banten</t>
  </si>
  <si>
    <t>3674051204820001</t>
  </si>
  <si>
    <t>Aditya Fajar Meidiansyah</t>
  </si>
  <si>
    <t>Jl. Dr Semeru No.102 Rt.001 Rw.001, Menteng, Kota Bogor Barat, Kota Bogor, Jawa Barat</t>
  </si>
  <si>
    <t>3271040505900035</t>
  </si>
  <si>
    <t>Siti Rizanie</t>
  </si>
  <si>
    <t>Bukit Golf Riverside I Blok A5/31, Bojong Nangka, Gunung Putri, Bogor, Jawa Barat</t>
  </si>
  <si>
    <t>3201026210740008</t>
  </si>
  <si>
    <t>Rizka Amalia Aminudin</t>
  </si>
  <si>
    <t>Jl. Dewi-Dewi No.245 Rt.006 Rw.001, Rawa Badak Utara, Koja, Jakarta Utara, DKI Jakarta</t>
  </si>
  <si>
    <t>3674054707920001</t>
  </si>
  <si>
    <t>Reza Pahlevi Satrio Jenie</t>
  </si>
  <si>
    <t>Jl. Parkit I Blok Y-I No.4 Rt.001 Rw.005, Rengas, Ciputat Timur, Tangerang Selatan, Banten</t>
  </si>
  <si>
    <t>3674050509770001</t>
  </si>
  <si>
    <t>Mira Nuria</t>
  </si>
  <si>
    <t>3174066409770008</t>
  </si>
  <si>
    <t>Daniel Roushdy Jenie</t>
  </si>
  <si>
    <t>Jl. Sutera Onyx VIII No 7 Alam Sutera, Pakualam, Serpong Utara, Tangerang Selatan, Banten</t>
  </si>
  <si>
    <t>3674021312700001</t>
  </si>
  <si>
    <t>Iqra Gantira</t>
  </si>
  <si>
    <t>Gading Raya H 267 Rt.010 Rw.011, Pondok Bambu, Duren Sawit, Jakarta Timur, DKI Jakarta</t>
  </si>
  <si>
    <t>3175070305820001</t>
  </si>
  <si>
    <t>Note :</t>
  </si>
  <si>
    <t>Pengecekan NIK Menggunakan Sistem BPJS Kesehatan, Jika tidak ada di sistem pajak mungkin berbeda penulisan nama (Spasi, Gelar, dll)</t>
  </si>
  <si>
    <t>2.</t>
  </si>
  <si>
    <t>NIK yang belum ada di sistem BPJS dicetak merah, mungkin dapat dicek ke Sistem Pajak dahulu sebelum minta NPWP</t>
  </si>
  <si>
    <t>INVOICE</t>
  </si>
  <si>
    <t>Nomor</t>
  </si>
  <si>
    <t>:</t>
  </si>
  <si>
    <t>Tanggal</t>
  </si>
  <si>
    <t>Jatuh Tempo</t>
  </si>
  <si>
    <t>Lampiran</t>
  </si>
  <si>
    <t>1 (Satu) Berkas</t>
  </si>
  <si>
    <t>Kepada Yth.</t>
  </si>
  <si>
    <t>Dengan Hormat,</t>
  </si>
  <si>
    <t>Bersama ini kami sampaikan biaya pengelolaan kebun kelapa sawit dengan rincian sebagai berikut:</t>
  </si>
  <si>
    <t>Deskripsi</t>
  </si>
  <si>
    <t>Jumlah</t>
  </si>
  <si>
    <t>Satuan</t>
  </si>
  <si>
    <t>Harga Satuan</t>
  </si>
  <si>
    <t>Biaya Pengelolaan Kebun Kelapa Sawit</t>
  </si>
  <si>
    <t>a.</t>
  </si>
  <si>
    <t>Upah</t>
  </si>
  <si>
    <t>b.</t>
  </si>
  <si>
    <t>Material</t>
  </si>
  <si>
    <t>c.</t>
  </si>
  <si>
    <t>Sewa/Rental</t>
  </si>
  <si>
    <t>d.</t>
  </si>
  <si>
    <t>Operasional Lainnya</t>
  </si>
  <si>
    <t>Jumlah Talangan Biaya Pengelolaan</t>
  </si>
  <si>
    <t>Management Fee DMA</t>
  </si>
  <si>
    <t>Jumlah Tagihan</t>
  </si>
  <si>
    <t>Terbilang :</t>
  </si>
  <si>
    <t>Harap Di transfer ke Rekening:</t>
  </si>
  <si>
    <t>Catatan :</t>
  </si>
  <si>
    <t>Bank Mandiri Tab. Bisnis Jakarta</t>
  </si>
  <si>
    <t>Bukti Potong PPh 23 harap emailkan ke:</t>
  </si>
  <si>
    <t xml:space="preserve">Rekening: 006-00-0704639-8		</t>
  </si>
  <si>
    <t>A/N: PT. DWI MITRA ADHIUSAHA</t>
  </si>
  <si>
    <t>Hormat Kami,</t>
  </si>
  <si>
    <t>Medi Harsa</t>
  </si>
  <si>
    <t>Ka.Biro Regional Sampit</t>
  </si>
  <si>
    <t>1b/DMA-PLASMA/I/2025</t>
  </si>
  <si>
    <t>1a/DMA-PLASMA/I/2025</t>
  </si>
  <si>
    <t>Seratus sembilan puluh tujuh juta empat ratus lima ribu sembilan puluh delapan Rupiah</t>
  </si>
  <si>
    <t>DPP PPN</t>
  </si>
  <si>
    <t>11/12</t>
  </si>
  <si>
    <t>Pajak Pertambahan Nilai</t>
  </si>
  <si>
    <t>Checking</t>
  </si>
  <si>
    <t>restu.andrian@dmagroup.co.id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</si>
</sst>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(* #,##0.00_);_(* \(#,##0.00\);_(* &quot;-&quot;_);_(@_)"/>
    <numFmt numFmtId="168" formatCode="_(* #,##0_);_(* \(#,##0\);_(* &quot;-&quot;??_);_(@_)"/>
    <numFmt numFmtId="169" formatCode="_(&quot;Rp&quot;* #,##0.00_);_(&quot;Rp&quot;* \(#,##0.00\);_(&quot;Rp&quot;* &quot;-&quot;_);_(@_)"/>
    <numFmt numFmtId="170" formatCode="_(* #,##0_);_(* \(#,##0\);_(* \-_);_(@_)"/>
    <numFmt numFmtId="171" formatCode="&quot;Rp&quot;#,##0"/>
  </numFmts>
  <fonts count="6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 Narrow"/>
      <family val="2"/>
      <charset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Calibri"/>
      <family val="2"/>
      <charset val="1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charset val="1"/>
      <scheme val="minor"/>
    </font>
    <font>
      <sz val="11"/>
      <color theme="1"/>
      <name val="Arial Narrow"/>
      <family val="2"/>
      <charset val="1"/>
    </font>
    <font>
      <sz val="12"/>
      <color theme="0"/>
      <name val="Times New Roman"/>
      <family val="1"/>
    </font>
    <font>
      <sz val="11"/>
      <color theme="1"/>
      <name val="Calibri"/>
      <family val="2"/>
      <charset val="1"/>
    </font>
    <font>
      <b/>
      <sz val="12"/>
      <color theme="0"/>
      <name val="Times New Roman"/>
      <family val="1"/>
    </font>
    <font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6"/>
      <name val="Times New Roman"/>
      <family val="1"/>
    </font>
    <font>
      <i/>
      <sz val="14"/>
      <name val="Times New Roman"/>
      <family val="1"/>
    </font>
    <font>
      <sz val="14"/>
      <color rgb="FFFF0000"/>
      <name val="Times New Roman"/>
      <family val="1"/>
    </font>
    <font>
      <u/>
      <sz val="14"/>
      <name val="Times New Roman"/>
      <family val="1"/>
    </font>
    <font>
      <b/>
      <u/>
      <sz val="14"/>
      <name val="Times New Roman"/>
      <family val="1"/>
    </font>
    <font>
      <sz val="14"/>
      <color theme="0"/>
      <name val="Times New Roman"/>
      <family val="1"/>
    </font>
    <font>
      <sz val="14"/>
      <color theme="5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  <charset val="1"/>
    </font>
    <font>
      <sz val="11"/>
      <color rgb="FF0070C0"/>
      <name val="Wingdings"/>
      <charset val="2"/>
    </font>
    <font>
      <sz val="11"/>
      <name val="Arial"/>
      <family val="2"/>
    </font>
    <font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charset val="1"/>
      <scheme val="minor"/>
    </font>
    <font>
      <b/>
      <sz val="26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6">
    <xf numFmtId="0" fontId="0" fillId="0" borderId="0"/>
    <xf numFmtId="41" fontId="24" fillId="0" borderId="0" applyFont="0" applyFill="0" applyBorder="0" applyAlignment="0" applyProtection="0"/>
    <xf numFmtId="0" fontId="25" fillId="0" borderId="0"/>
    <xf numFmtId="0" fontId="26" fillId="0" borderId="0"/>
    <xf numFmtId="43" fontId="26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3" fillId="0" borderId="0"/>
    <xf numFmtId="43" fontId="25" fillId="0" borderId="0" applyFont="0" applyFill="0" applyBorder="0" applyAlignment="0" applyProtection="0"/>
    <xf numFmtId="0" fontId="25" fillId="0" borderId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4" fillId="0" borderId="0" applyFont="0" applyFill="0" applyBorder="0" applyAlignment="0" applyProtection="0"/>
    <xf numFmtId="170" fontId="25" fillId="0" borderId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4" fillId="0" borderId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0" fontId="38" fillId="0" borderId="0"/>
    <xf numFmtId="41" fontId="2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3" fillId="0" borderId="0"/>
    <xf numFmtId="43" fontId="2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" fillId="0" borderId="0"/>
    <xf numFmtId="41" fontId="3" fillId="0" borderId="0" applyFont="0" applyFill="0" applyBorder="0" applyAlignment="0" applyProtection="0"/>
    <xf numFmtId="170" fontId="25" fillId="0" borderId="0" applyFill="0" applyBorder="0" applyAlignment="0" applyProtection="0"/>
    <xf numFmtId="41" fontId="2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5" fillId="0" borderId="0" applyNumberFormat="0" applyFill="0" applyBorder="0" applyAlignment="0" applyProtection="0"/>
  </cellStyleXfs>
  <cellXfs count="340">
    <xf numFmtId="0" fontId="0" fillId="0" borderId="0" xfId="0"/>
    <xf numFmtId="0" fontId="29" fillId="2" borderId="0" xfId="2" applyFont="1" applyFill="1"/>
    <xf numFmtId="0" fontId="29" fillId="2" borderId="0" xfId="3" applyFont="1" applyFill="1"/>
    <xf numFmtId="0" fontId="29" fillId="2" borderId="0" xfId="3" applyFont="1" applyFill="1" applyAlignment="1">
      <alignment horizontal="left"/>
    </xf>
    <xf numFmtId="167" fontId="29" fillId="2" borderId="0" xfId="1" applyNumberFormat="1" applyFont="1" applyFill="1"/>
    <xf numFmtId="167" fontId="29" fillId="2" borderId="0" xfId="1" applyNumberFormat="1" applyFont="1" applyFill="1" applyAlignment="1">
      <alignment horizontal="right"/>
    </xf>
    <xf numFmtId="41" fontId="29" fillId="2" borderId="0" xfId="1" applyFont="1" applyFill="1"/>
    <xf numFmtId="0" fontId="30" fillId="2" borderId="0" xfId="3" applyFont="1" applyFill="1" applyAlignment="1">
      <alignment vertical="center"/>
    </xf>
    <xf numFmtId="0" fontId="30" fillId="2" borderId="0" xfId="3" applyFont="1" applyFill="1" applyAlignment="1">
      <alignment horizontal="left" vertical="center"/>
    </xf>
    <xf numFmtId="167" fontId="30" fillId="2" borderId="0" xfId="1" applyNumberFormat="1" applyFont="1" applyFill="1" applyAlignment="1">
      <alignment vertical="center"/>
    </xf>
    <xf numFmtId="0" fontId="29" fillId="2" borderId="0" xfId="3" applyFont="1" applyFill="1" applyAlignment="1">
      <alignment horizontal="center" vertical="center"/>
    </xf>
    <xf numFmtId="167" fontId="29" fillId="2" borderId="2" xfId="1" applyNumberFormat="1" applyFont="1" applyFill="1" applyBorder="1" applyAlignment="1">
      <alignment horizontal="center"/>
    </xf>
    <xf numFmtId="167" fontId="29" fillId="2" borderId="8" xfId="1" applyNumberFormat="1" applyFont="1" applyFill="1" applyBorder="1" applyAlignment="1">
      <alignment horizontal="center"/>
    </xf>
    <xf numFmtId="0" fontId="29" fillId="2" borderId="15" xfId="3" applyFont="1" applyFill="1" applyBorder="1" applyAlignment="1">
      <alignment horizontal="left"/>
    </xf>
    <xf numFmtId="167" fontId="29" fillId="2" borderId="15" xfId="1" applyNumberFormat="1" applyFont="1" applyFill="1" applyBorder="1" applyAlignment="1">
      <alignment horizontal="center"/>
    </xf>
    <xf numFmtId="41" fontId="29" fillId="2" borderId="15" xfId="1" applyFont="1" applyFill="1" applyBorder="1" applyAlignment="1">
      <alignment horizontal="left"/>
    </xf>
    <xf numFmtId="167" fontId="29" fillId="2" borderId="16" xfId="1" applyNumberFormat="1" applyFont="1" applyFill="1" applyBorder="1" applyAlignment="1">
      <alignment horizontal="center"/>
    </xf>
    <xf numFmtId="0" fontId="31" fillId="2" borderId="0" xfId="0" applyFont="1" applyFill="1" applyAlignment="1">
      <alignment horizontal="left"/>
    </xf>
    <xf numFmtId="167" fontId="31" fillId="2" borderId="0" xfId="1" applyNumberFormat="1" applyFont="1" applyFill="1"/>
    <xf numFmtId="167" fontId="29" fillId="2" borderId="0" xfId="1" applyNumberFormat="1" applyFont="1" applyFill="1" applyBorder="1" applyAlignment="1">
      <alignment horizontal="right"/>
    </xf>
    <xf numFmtId="0" fontId="29" fillId="2" borderId="0" xfId="0" applyFont="1" applyFill="1" applyAlignment="1">
      <alignment horizontal="right"/>
    </xf>
    <xf numFmtId="0" fontId="30" fillId="2" borderId="0" xfId="0" applyFont="1" applyFill="1"/>
    <xf numFmtId="0" fontId="32" fillId="2" borderId="0" xfId="0" applyFont="1" applyFill="1"/>
    <xf numFmtId="43" fontId="30" fillId="2" borderId="0" xfId="4" applyFont="1" applyFill="1" applyBorder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horizontal="left"/>
    </xf>
    <xf numFmtId="0" fontId="34" fillId="2" borderId="0" xfId="3" applyFont="1" applyFill="1" applyAlignment="1">
      <alignment horizontal="center" vertical="center"/>
    </xf>
    <xf numFmtId="167" fontId="34" fillId="2" borderId="0" xfId="1" applyNumberFormat="1" applyFont="1" applyFill="1"/>
    <xf numFmtId="0" fontId="34" fillId="2" borderId="0" xfId="0" applyFont="1" applyFill="1" applyAlignment="1">
      <alignment horizontal="right"/>
    </xf>
    <xf numFmtId="0" fontId="33" fillId="2" borderId="0" xfId="0" applyFont="1" applyFill="1"/>
    <xf numFmtId="0" fontId="35" fillId="2" borderId="0" xfId="0" applyFont="1" applyFill="1"/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center"/>
    </xf>
    <xf numFmtId="167" fontId="30" fillId="2" borderId="0" xfId="1" applyNumberFormat="1" applyFont="1" applyFill="1" applyAlignment="1">
      <alignment horizontal="center"/>
    </xf>
    <xf numFmtId="167" fontId="30" fillId="2" borderId="0" xfId="1" applyNumberFormat="1" applyFont="1" applyFill="1"/>
    <xf numFmtId="0" fontId="29" fillId="2" borderId="15" xfId="0" applyFont="1" applyFill="1" applyBorder="1" applyAlignment="1">
      <alignment horizontal="left"/>
    </xf>
    <xf numFmtId="41" fontId="29" fillId="2" borderId="0" xfId="1" applyFont="1" applyFill="1" applyAlignment="1">
      <alignment horizontal="right"/>
    </xf>
    <xf numFmtId="41" fontId="29" fillId="2" borderId="0" xfId="1" applyFont="1" applyFill="1" applyBorder="1" applyAlignment="1">
      <alignment horizontal="right"/>
    </xf>
    <xf numFmtId="41" fontId="29" fillId="2" borderId="0" xfId="0" applyNumberFormat="1" applyFont="1" applyFill="1" applyAlignment="1">
      <alignment horizontal="right"/>
    </xf>
    <xf numFmtId="0" fontId="29" fillId="2" borderId="1" xfId="10" applyFont="1" applyFill="1" applyBorder="1" applyAlignment="1">
      <alignment horizontal="center"/>
    </xf>
    <xf numFmtId="0" fontId="29" fillId="2" borderId="2" xfId="10" applyFont="1" applyFill="1" applyBorder="1" applyAlignment="1">
      <alignment horizontal="center"/>
    </xf>
    <xf numFmtId="0" fontId="29" fillId="2" borderId="2" xfId="10" applyFont="1" applyFill="1" applyBorder="1" applyAlignment="1">
      <alignment horizontal="left"/>
    </xf>
    <xf numFmtId="0" fontId="29" fillId="2" borderId="14" xfId="10" applyFont="1" applyFill="1" applyBorder="1" applyAlignment="1">
      <alignment horizontal="center"/>
    </xf>
    <xf numFmtId="0" fontId="29" fillId="2" borderId="15" xfId="10" applyFont="1" applyFill="1" applyBorder="1" applyAlignment="1">
      <alignment horizontal="left"/>
    </xf>
    <xf numFmtId="0" fontId="29" fillId="2" borderId="0" xfId="10" applyFont="1" applyFill="1" applyAlignment="1">
      <alignment horizontal="left"/>
    </xf>
    <xf numFmtId="0" fontId="29" fillId="2" borderId="15" xfId="10" applyFont="1" applyFill="1" applyBorder="1"/>
    <xf numFmtId="0" fontId="30" fillId="2" borderId="17" xfId="10" applyFont="1" applyFill="1" applyBorder="1" applyAlignment="1">
      <alignment horizontal="left" vertical="center"/>
    </xf>
    <xf numFmtId="0" fontId="29" fillId="2" borderId="18" xfId="10" applyFont="1" applyFill="1" applyBorder="1" applyAlignment="1">
      <alignment horizontal="center"/>
    </xf>
    <xf numFmtId="0" fontId="29" fillId="2" borderId="27" xfId="10" applyFont="1" applyFill="1" applyBorder="1" applyAlignment="1">
      <alignment horizontal="center"/>
    </xf>
    <xf numFmtId="0" fontId="30" fillId="2" borderId="30" xfId="10" applyFont="1" applyFill="1" applyBorder="1" applyAlignment="1">
      <alignment horizontal="left" vertical="center"/>
    </xf>
    <xf numFmtId="0" fontId="30" fillId="2" borderId="30" xfId="10" applyFont="1" applyFill="1" applyBorder="1" applyAlignment="1">
      <alignment horizontal="center" vertical="center"/>
    </xf>
    <xf numFmtId="0" fontId="30" fillId="2" borderId="26" xfId="10" applyFont="1" applyFill="1" applyBorder="1" applyAlignment="1">
      <alignment horizontal="center" vertical="center"/>
    </xf>
    <xf numFmtId="0" fontId="30" fillId="2" borderId="23" xfId="10" applyFont="1" applyFill="1" applyBorder="1" applyAlignment="1">
      <alignment horizontal="center" vertical="center"/>
    </xf>
    <xf numFmtId="0" fontId="29" fillId="2" borderId="24" xfId="10" applyFont="1" applyFill="1" applyBorder="1"/>
    <xf numFmtId="0" fontId="29" fillId="2" borderId="21" xfId="10" applyFont="1" applyFill="1" applyBorder="1"/>
    <xf numFmtId="0" fontId="29" fillId="2" borderId="22" xfId="10" applyFont="1" applyFill="1" applyBorder="1"/>
    <xf numFmtId="0" fontId="31" fillId="2" borderId="0" xfId="10" applyFont="1" applyFill="1" applyAlignment="1">
      <alignment horizontal="left" vertical="center"/>
    </xf>
    <xf numFmtId="0" fontId="29" fillId="2" borderId="0" xfId="10" applyFont="1" applyFill="1"/>
    <xf numFmtId="0" fontId="29" fillId="2" borderId="0" xfId="3" applyFont="1" applyFill="1" applyAlignment="1">
      <alignment horizontal="center"/>
    </xf>
    <xf numFmtId="167" fontId="29" fillId="2" borderId="15" xfId="7" applyNumberFormat="1" applyFont="1" applyFill="1" applyBorder="1" applyAlignment="1">
      <alignment horizontal="left" vertical="center" indent="1"/>
    </xf>
    <xf numFmtId="169" fontId="29" fillId="2" borderId="19" xfId="1" applyNumberFormat="1" applyFont="1" applyFill="1" applyBorder="1" applyAlignment="1"/>
    <xf numFmtId="1" fontId="29" fillId="2" borderId="19" xfId="1" applyNumberFormat="1" applyFont="1" applyFill="1" applyBorder="1" applyAlignment="1"/>
    <xf numFmtId="41" fontId="31" fillId="2" borderId="0" xfId="1" applyFont="1" applyFill="1"/>
    <xf numFmtId="0" fontId="29" fillId="2" borderId="15" xfId="10" applyFont="1" applyFill="1" applyBorder="1" applyAlignment="1">
      <alignment horizontal="center"/>
    </xf>
    <xf numFmtId="0" fontId="30" fillId="2" borderId="0" xfId="3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166" fontId="32" fillId="2" borderId="0" xfId="0" applyNumberFormat="1" applyFont="1" applyFill="1"/>
    <xf numFmtId="0" fontId="30" fillId="3" borderId="11" xfId="3" applyFont="1" applyFill="1" applyBorder="1" applyAlignment="1">
      <alignment horizontal="center"/>
    </xf>
    <xf numFmtId="167" fontId="30" fillId="3" borderId="11" xfId="1" applyNumberFormat="1" applyFont="1" applyFill="1" applyBorder="1" applyAlignment="1">
      <alignment horizontal="center"/>
    </xf>
    <xf numFmtId="167" fontId="30" fillId="3" borderId="12" xfId="1" applyNumberFormat="1" applyFont="1" applyFill="1" applyBorder="1" applyAlignment="1">
      <alignment horizontal="center"/>
    </xf>
    <xf numFmtId="167" fontId="29" fillId="2" borderId="16" xfId="7" applyNumberFormat="1" applyFont="1" applyFill="1" applyBorder="1" applyAlignment="1">
      <alignment horizontal="left" vertical="center" indent="1"/>
    </xf>
    <xf numFmtId="167" fontId="29" fillId="2" borderId="0" xfId="0" applyNumberFormat="1" applyFont="1" applyFill="1"/>
    <xf numFmtId="0" fontId="30" fillId="2" borderId="36" xfId="10" applyFont="1" applyFill="1" applyBorder="1" applyAlignment="1">
      <alignment horizontal="center" vertical="center"/>
    </xf>
    <xf numFmtId="167" fontId="29" fillId="2" borderId="0" xfId="1" applyNumberFormat="1" applyFont="1" applyFill="1" applyAlignment="1">
      <alignment horizontal="center"/>
    </xf>
    <xf numFmtId="0" fontId="29" fillId="2" borderId="0" xfId="10" applyFont="1" applyFill="1" applyAlignment="1">
      <alignment horizontal="center"/>
    </xf>
    <xf numFmtId="0" fontId="30" fillId="2" borderId="18" xfId="10" applyFont="1" applyFill="1" applyBorder="1" applyAlignment="1">
      <alignment horizontal="center" vertical="center"/>
    </xf>
    <xf numFmtId="0" fontId="30" fillId="2" borderId="32" xfId="10" applyFont="1" applyFill="1" applyBorder="1" applyAlignment="1">
      <alignment horizontal="center" vertical="center"/>
    </xf>
    <xf numFmtId="166" fontId="37" fillId="2" borderId="0" xfId="10" applyNumberFormat="1" applyFont="1" applyFill="1" applyAlignment="1">
      <alignment horizontal="center"/>
    </xf>
    <xf numFmtId="167" fontId="37" fillId="2" borderId="0" xfId="1" applyNumberFormat="1" applyFont="1" applyFill="1" applyBorder="1" applyAlignment="1">
      <alignment horizontal="right"/>
    </xf>
    <xf numFmtId="41" fontId="39" fillId="2" borderId="0" xfId="1" applyFont="1" applyFill="1" applyBorder="1" applyAlignment="1">
      <alignment horizontal="center"/>
    </xf>
    <xf numFmtId="41" fontId="30" fillId="2" borderId="0" xfId="1" applyFont="1" applyFill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42" fillId="0" borderId="0" xfId="0" applyFont="1"/>
    <xf numFmtId="0" fontId="42" fillId="0" borderId="27" xfId="0" applyFont="1" applyBorder="1" applyAlignment="1">
      <alignment horizontal="center"/>
    </xf>
    <xf numFmtId="0" fontId="42" fillId="0" borderId="35" xfId="0" applyFont="1" applyBorder="1" applyAlignment="1">
      <alignment horizontal="center"/>
    </xf>
    <xf numFmtId="0" fontId="42" fillId="0" borderId="29" xfId="0" applyFont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40" fillId="0" borderId="27" xfId="0" applyFont="1" applyBorder="1" applyAlignment="1">
      <alignment wrapText="1"/>
    </xf>
    <xf numFmtId="0" fontId="40" fillId="0" borderId="27" xfId="0" applyFont="1" applyBorder="1"/>
    <xf numFmtId="164" fontId="40" fillId="0" borderId="0" xfId="0" applyNumberFormat="1" applyFont="1"/>
    <xf numFmtId="0" fontId="40" fillId="0" borderId="34" xfId="0" applyFont="1" applyBorder="1" applyAlignment="1">
      <alignment vertical="top"/>
    </xf>
    <xf numFmtId="0" fontId="40" fillId="0" borderId="0" xfId="0" applyFont="1" applyAlignment="1">
      <alignment horizontal="center"/>
    </xf>
    <xf numFmtId="0" fontId="29" fillId="2" borderId="38" xfId="10" applyFont="1" applyFill="1" applyBorder="1" applyAlignment="1">
      <alignment horizontal="center"/>
    </xf>
    <xf numFmtId="0" fontId="30" fillId="2" borderId="39" xfId="10" applyFont="1" applyFill="1" applyBorder="1" applyAlignment="1">
      <alignment horizontal="left" vertical="center"/>
    </xf>
    <xf numFmtId="167" fontId="30" fillId="2" borderId="38" xfId="1" applyNumberFormat="1" applyFont="1" applyFill="1" applyBorder="1" applyAlignment="1">
      <alignment horizontal="center"/>
    </xf>
    <xf numFmtId="0" fontId="30" fillId="2" borderId="38" xfId="10" applyFont="1" applyFill="1" applyBorder="1" applyAlignment="1">
      <alignment horizontal="center"/>
    </xf>
    <xf numFmtId="167" fontId="30" fillId="2" borderId="40" xfId="1" applyNumberFormat="1" applyFont="1" applyFill="1" applyBorder="1" applyAlignment="1">
      <alignment horizontal="center"/>
    </xf>
    <xf numFmtId="43" fontId="29" fillId="2" borderId="0" xfId="60" applyFont="1" applyFill="1" applyAlignment="1">
      <alignment horizontal="left"/>
    </xf>
    <xf numFmtId="43" fontId="44" fillId="2" borderId="0" xfId="60" applyFont="1" applyFill="1" applyAlignment="1">
      <alignment horizontal="left"/>
    </xf>
    <xf numFmtId="0" fontId="44" fillId="2" borderId="0" xfId="0" applyFont="1" applyFill="1" applyAlignment="1">
      <alignment horizontal="left" indent="1"/>
    </xf>
    <xf numFmtId="41" fontId="44" fillId="2" borderId="0" xfId="1" applyFont="1" applyFill="1"/>
    <xf numFmtId="0" fontId="44" fillId="2" borderId="0" xfId="0" applyFont="1" applyFill="1" applyAlignment="1">
      <alignment horizontal="left"/>
    </xf>
    <xf numFmtId="0" fontId="44" fillId="2" borderId="0" xfId="0" applyFont="1" applyFill="1"/>
    <xf numFmtId="43" fontId="29" fillId="2" borderId="0" xfId="0" applyNumberFormat="1" applyFont="1" applyFill="1"/>
    <xf numFmtId="43" fontId="29" fillId="2" borderId="0" xfId="60" applyFont="1" applyFill="1"/>
    <xf numFmtId="0" fontId="34" fillId="2" borderId="14" xfId="10" applyFont="1" applyFill="1" applyBorder="1" applyAlignment="1">
      <alignment horizontal="center"/>
    </xf>
    <xf numFmtId="0" fontId="34" fillId="2" borderId="15" xfId="10" applyFont="1" applyFill="1" applyBorder="1" applyAlignment="1">
      <alignment horizontal="left"/>
    </xf>
    <xf numFmtId="0" fontId="34" fillId="2" borderId="0" xfId="10" applyFont="1" applyFill="1" applyAlignment="1">
      <alignment horizontal="left"/>
    </xf>
    <xf numFmtId="167" fontId="34" fillId="2" borderId="15" xfId="1" applyNumberFormat="1" applyFont="1" applyFill="1" applyBorder="1" applyAlignment="1">
      <alignment horizontal="center"/>
    </xf>
    <xf numFmtId="0" fontId="34" fillId="2" borderId="15" xfId="10" applyFont="1" applyFill="1" applyBorder="1" applyAlignment="1">
      <alignment horizontal="center"/>
    </xf>
    <xf numFmtId="167" fontId="34" fillId="2" borderId="0" xfId="5" applyNumberFormat="1" applyFont="1" applyFill="1" applyAlignment="1">
      <alignment vertical="center"/>
    </xf>
    <xf numFmtId="167" fontId="34" fillId="2" borderId="16" xfId="1" applyNumberFormat="1" applyFont="1" applyFill="1" applyBorder="1" applyAlignment="1">
      <alignment horizontal="center"/>
    </xf>
    <xf numFmtId="0" fontId="34" fillId="2" borderId="14" xfId="10" applyFont="1" applyFill="1" applyBorder="1" applyAlignment="1">
      <alignment horizontal="center" vertical="center"/>
    </xf>
    <xf numFmtId="0" fontId="34" fillId="2" borderId="15" xfId="0" applyFont="1" applyFill="1" applyBorder="1" applyAlignment="1">
      <alignment horizontal="left"/>
    </xf>
    <xf numFmtId="167" fontId="34" fillId="2" borderId="15" xfId="1" applyNumberFormat="1" applyFont="1" applyFill="1" applyBorder="1" applyAlignment="1">
      <alignment horizontal="right"/>
    </xf>
    <xf numFmtId="167" fontId="34" fillId="2" borderId="15" xfId="7" applyNumberFormat="1" applyFont="1" applyFill="1" applyBorder="1" applyAlignment="1">
      <alignment horizontal="center" vertical="center"/>
    </xf>
    <xf numFmtId="167" fontId="34" fillId="2" borderId="19" xfId="1" applyNumberFormat="1" applyFont="1" applyFill="1" applyBorder="1" applyAlignment="1">
      <alignment horizontal="right"/>
    </xf>
    <xf numFmtId="166" fontId="34" fillId="2" borderId="0" xfId="0" applyNumberFormat="1" applyFont="1" applyFill="1" applyAlignment="1">
      <alignment horizontal="right"/>
    </xf>
    <xf numFmtId="167" fontId="33" fillId="2" borderId="0" xfId="0" applyNumberFormat="1" applyFont="1" applyFill="1"/>
    <xf numFmtId="167" fontId="34" fillId="2" borderId="15" xfId="5" applyNumberFormat="1" applyFont="1" applyFill="1" applyBorder="1" applyAlignment="1">
      <alignment vertical="center"/>
    </xf>
    <xf numFmtId="0" fontId="34" fillId="2" borderId="15" xfId="3" applyFont="1" applyFill="1" applyBorder="1" applyAlignment="1">
      <alignment horizontal="left"/>
    </xf>
    <xf numFmtId="0" fontId="34" fillId="2" borderId="31" xfId="10" applyFont="1" applyFill="1" applyBorder="1" applyAlignment="1">
      <alignment horizontal="left"/>
    </xf>
    <xf numFmtId="0" fontId="33" fillId="2" borderId="17" xfId="10" applyFont="1" applyFill="1" applyBorder="1" applyAlignment="1">
      <alignment vertical="center"/>
    </xf>
    <xf numFmtId="0" fontId="34" fillId="2" borderId="29" xfId="0" applyFont="1" applyFill="1" applyBorder="1" applyAlignment="1">
      <alignment vertical="center"/>
    </xf>
    <xf numFmtId="0" fontId="34" fillId="2" borderId="27" xfId="0" applyFont="1" applyFill="1" applyBorder="1" applyAlignment="1">
      <alignment vertical="center"/>
    </xf>
    <xf numFmtId="167" fontId="33" fillId="2" borderId="27" xfId="1" applyNumberFormat="1" applyFont="1" applyFill="1" applyBorder="1" applyAlignment="1">
      <alignment vertical="center"/>
    </xf>
    <xf numFmtId="0" fontId="34" fillId="2" borderId="27" xfId="10" applyFont="1" applyFill="1" applyBorder="1" applyAlignment="1">
      <alignment vertical="center"/>
    </xf>
    <xf numFmtId="167" fontId="34" fillId="2" borderId="27" xfId="1" applyNumberFormat="1" applyFont="1" applyFill="1" applyBorder="1" applyAlignment="1">
      <alignment vertical="center"/>
    </xf>
    <xf numFmtId="0" fontId="34" fillId="2" borderId="0" xfId="0" applyFont="1" applyFill="1"/>
    <xf numFmtId="0" fontId="33" fillId="2" borderId="15" xfId="10" applyFont="1" applyFill="1" applyBorder="1" applyAlignment="1">
      <alignment horizontal="left"/>
    </xf>
    <xf numFmtId="167" fontId="33" fillId="2" borderId="16" xfId="1" applyNumberFormat="1" applyFont="1" applyFill="1" applyBorder="1" applyAlignment="1">
      <alignment horizontal="center"/>
    </xf>
    <xf numFmtId="0" fontId="34" fillId="2" borderId="28" xfId="10" applyFont="1" applyFill="1" applyBorder="1" applyAlignment="1">
      <alignment horizontal="center"/>
    </xf>
    <xf numFmtId="0" fontId="33" fillId="2" borderId="0" xfId="10" applyFont="1" applyFill="1" applyAlignment="1">
      <alignment horizontal="left"/>
    </xf>
    <xf numFmtId="0" fontId="33" fillId="2" borderId="25" xfId="10" applyFont="1" applyFill="1" applyBorder="1" applyAlignment="1">
      <alignment horizontal="left"/>
    </xf>
    <xf numFmtId="167" fontId="33" fillId="2" borderId="25" xfId="1" applyNumberFormat="1" applyFont="1" applyFill="1" applyBorder="1" applyAlignment="1">
      <alignment horizontal="center"/>
    </xf>
    <xf numFmtId="167" fontId="33" fillId="2" borderId="22" xfId="1" applyNumberFormat="1" applyFont="1" applyFill="1" applyBorder="1" applyAlignment="1">
      <alignment horizontal="center"/>
    </xf>
    <xf numFmtId="0" fontId="34" fillId="2" borderId="22" xfId="10" applyFont="1" applyFill="1" applyBorder="1"/>
    <xf numFmtId="167" fontId="34" fillId="2" borderId="22" xfId="1" applyNumberFormat="1" applyFont="1" applyFill="1" applyBorder="1" applyAlignment="1">
      <alignment horizontal="right"/>
    </xf>
    <xf numFmtId="41" fontId="33" fillId="2" borderId="33" xfId="1" applyFont="1" applyFill="1" applyBorder="1" applyAlignment="1">
      <alignment horizontal="center"/>
    </xf>
    <xf numFmtId="167" fontId="33" fillId="2" borderId="22" xfId="1" applyNumberFormat="1" applyFont="1" applyFill="1" applyBorder="1" applyAlignment="1"/>
    <xf numFmtId="0" fontId="33" fillId="2" borderId="22" xfId="10" applyFont="1" applyFill="1" applyBorder="1" applyAlignment="1">
      <alignment horizontal="center"/>
    </xf>
    <xf numFmtId="41" fontId="33" fillId="2" borderId="22" xfId="1" applyFont="1" applyFill="1" applyBorder="1" applyAlignment="1"/>
    <xf numFmtId="0" fontId="45" fillId="2" borderId="0" xfId="10" applyFont="1" applyFill="1" applyAlignment="1">
      <alignment horizontal="center"/>
    </xf>
    <xf numFmtId="167" fontId="34" fillId="2" borderId="0" xfId="1" applyNumberFormat="1" applyFont="1" applyFill="1" applyAlignment="1">
      <alignment horizontal="center"/>
    </xf>
    <xf numFmtId="41" fontId="34" fillId="2" borderId="0" xfId="10" applyNumberFormat="1" applyFont="1" applyFill="1" applyAlignment="1">
      <alignment horizontal="left"/>
    </xf>
    <xf numFmtId="167" fontId="34" fillId="2" borderId="0" xfId="1" applyNumberFormat="1" applyFont="1" applyFill="1" applyAlignment="1"/>
    <xf numFmtId="167" fontId="46" fillId="2" borderId="0" xfId="1" applyNumberFormat="1" applyFont="1" applyFill="1" applyAlignment="1"/>
    <xf numFmtId="0" fontId="34" fillId="2" borderId="0" xfId="10" applyFont="1" applyFill="1"/>
    <xf numFmtId="167" fontId="34" fillId="2" borderId="0" xfId="10" applyNumberFormat="1" applyFont="1" applyFill="1"/>
    <xf numFmtId="0" fontId="34" fillId="2" borderId="0" xfId="10" applyFont="1" applyFill="1" applyAlignment="1">
      <alignment horizontal="center"/>
    </xf>
    <xf numFmtId="41" fontId="34" fillId="2" borderId="0" xfId="0" applyNumberFormat="1" applyFont="1" applyFill="1" applyAlignment="1">
      <alignment horizontal="right"/>
    </xf>
    <xf numFmtId="167" fontId="34" fillId="2" borderId="0" xfId="1" applyNumberFormat="1" applyFont="1" applyFill="1" applyAlignment="1">
      <alignment horizontal="right"/>
    </xf>
    <xf numFmtId="41" fontId="34" fillId="2" borderId="0" xfId="1" applyFont="1" applyFill="1"/>
    <xf numFmtId="167" fontId="47" fillId="2" borderId="0" xfId="1" applyNumberFormat="1" applyFont="1" applyFill="1" applyBorder="1" applyAlignment="1">
      <alignment horizontal="center"/>
    </xf>
    <xf numFmtId="0" fontId="34" fillId="2" borderId="0" xfId="0" applyFont="1" applyFill="1" applyAlignment="1">
      <alignment horizontal="left"/>
    </xf>
    <xf numFmtId="167" fontId="48" fillId="2" borderId="0" xfId="1" applyNumberFormat="1" applyFont="1" applyFill="1" applyAlignment="1">
      <alignment horizontal="center"/>
    </xf>
    <xf numFmtId="43" fontId="34" fillId="2" borderId="15" xfId="60" applyFont="1" applyFill="1" applyBorder="1" applyAlignment="1">
      <alignment horizontal="center"/>
    </xf>
    <xf numFmtId="43" fontId="34" fillId="2" borderId="0" xfId="60" applyFont="1" applyFill="1" applyAlignment="1">
      <alignment vertical="center"/>
    </xf>
    <xf numFmtId="167" fontId="33" fillId="2" borderId="27" xfId="1" applyNumberFormat="1" applyFont="1" applyFill="1" applyBorder="1" applyAlignment="1">
      <alignment horizontal="center"/>
    </xf>
    <xf numFmtId="0" fontId="33" fillId="2" borderId="27" xfId="10" applyFont="1" applyFill="1" applyBorder="1" applyAlignment="1">
      <alignment horizontal="center"/>
    </xf>
    <xf numFmtId="167" fontId="34" fillId="2" borderId="15" xfId="0" applyNumberFormat="1" applyFont="1" applyFill="1" applyBorder="1" applyAlignment="1">
      <alignment horizontal="left"/>
    </xf>
    <xf numFmtId="167" fontId="49" fillId="2" borderId="0" xfId="1" applyNumberFormat="1" applyFont="1" applyFill="1" applyAlignment="1"/>
    <xf numFmtId="43" fontId="34" fillId="2" borderId="15" xfId="60" applyFont="1" applyFill="1" applyBorder="1" applyAlignment="1">
      <alignment vertical="center"/>
    </xf>
    <xf numFmtId="167" fontId="34" fillId="0" borderId="16" xfId="1" applyNumberFormat="1" applyFont="1" applyFill="1" applyBorder="1" applyAlignment="1">
      <alignment horizontal="center"/>
    </xf>
    <xf numFmtId="168" fontId="34" fillId="2" borderId="15" xfId="60" applyNumberFormat="1" applyFont="1" applyFill="1" applyBorder="1" applyAlignment="1">
      <alignment horizontal="center"/>
    </xf>
    <xf numFmtId="167" fontId="29" fillId="2" borderId="16" xfId="5" applyNumberFormat="1" applyFont="1" applyFill="1" applyBorder="1" applyAlignment="1">
      <alignment vertical="center"/>
    </xf>
    <xf numFmtId="41" fontId="34" fillId="2" borderId="0" xfId="5" applyFont="1" applyFill="1" applyAlignment="1">
      <alignment vertical="center"/>
    </xf>
    <xf numFmtId="167" fontId="34" fillId="2" borderId="16" xfId="1" applyNumberFormat="1" applyFont="1" applyFill="1" applyBorder="1" applyAlignment="1">
      <alignment horizontal="right"/>
    </xf>
    <xf numFmtId="0" fontId="34" fillId="2" borderId="28" xfId="10" applyFont="1" applyFill="1" applyBorder="1" applyAlignment="1">
      <alignment horizontal="center" vertical="center"/>
    </xf>
    <xf numFmtId="0" fontId="34" fillId="2" borderId="0" xfId="3" applyFont="1" applyFill="1" applyAlignment="1">
      <alignment horizontal="left"/>
    </xf>
    <xf numFmtId="168" fontId="34" fillId="2" borderId="15" xfId="60" applyNumberFormat="1" applyFont="1" applyFill="1" applyBorder="1" applyAlignment="1">
      <alignment vertical="center"/>
    </xf>
    <xf numFmtId="167" fontId="30" fillId="2" borderId="18" xfId="1" applyNumberFormat="1" applyFont="1" applyFill="1" applyBorder="1" applyAlignment="1">
      <alignment horizontal="center"/>
    </xf>
    <xf numFmtId="0" fontId="30" fillId="2" borderId="18" xfId="10" applyFont="1" applyFill="1" applyBorder="1" applyAlignment="1">
      <alignment horizontal="center"/>
    </xf>
    <xf numFmtId="167" fontId="30" fillId="2" borderId="32" xfId="1" applyNumberFormat="1" applyFont="1" applyFill="1" applyBorder="1" applyAlignment="1">
      <alignment horizontal="center"/>
    </xf>
    <xf numFmtId="167" fontId="34" fillId="2" borderId="31" xfId="1" applyNumberFormat="1" applyFont="1" applyFill="1" applyBorder="1" applyAlignment="1">
      <alignment horizontal="center"/>
    </xf>
    <xf numFmtId="0" fontId="40" fillId="2" borderId="0" xfId="10" applyFont="1" applyFill="1" applyAlignment="1">
      <alignment horizontal="left"/>
    </xf>
    <xf numFmtId="168" fontId="40" fillId="2" borderId="15" xfId="60" applyNumberFormat="1" applyFont="1" applyFill="1" applyBorder="1" applyAlignment="1">
      <alignment vertical="center"/>
    </xf>
    <xf numFmtId="0" fontId="40" fillId="2" borderId="31" xfId="3" applyFont="1" applyFill="1" applyBorder="1" applyAlignment="1">
      <alignment horizontal="left"/>
    </xf>
    <xf numFmtId="0" fontId="40" fillId="2" borderId="31" xfId="10" applyFont="1" applyFill="1" applyBorder="1" applyAlignment="1">
      <alignment horizontal="left"/>
    </xf>
    <xf numFmtId="167" fontId="40" fillId="2" borderId="16" xfId="1" applyNumberFormat="1" applyFont="1" applyFill="1" applyBorder="1" applyAlignment="1">
      <alignment horizontal="center"/>
    </xf>
    <xf numFmtId="167" fontId="40" fillId="0" borderId="16" xfId="1" applyNumberFormat="1" applyFont="1" applyFill="1" applyBorder="1" applyAlignment="1">
      <alignment horizontal="center"/>
    </xf>
    <xf numFmtId="167" fontId="40" fillId="2" borderId="15" xfId="5" applyNumberFormat="1" applyFont="1" applyFill="1" applyBorder="1" applyAlignment="1">
      <alignment vertical="center"/>
    </xf>
    <xf numFmtId="0" fontId="34" fillId="2" borderId="15" xfId="0" applyFont="1" applyFill="1" applyBorder="1"/>
    <xf numFmtId="167" fontId="50" fillId="2" borderId="0" xfId="1" applyNumberFormat="1" applyFont="1" applyFill="1" applyAlignment="1"/>
    <xf numFmtId="43" fontId="51" fillId="2" borderId="0" xfId="60" applyFont="1" applyFill="1"/>
    <xf numFmtId="167" fontId="34" fillId="2" borderId="31" xfId="5" applyNumberFormat="1" applyFont="1" applyFill="1" applyBorder="1" applyAlignment="1">
      <alignment vertical="center"/>
    </xf>
    <xf numFmtId="43" fontId="34" fillId="2" borderId="31" xfId="0" applyNumberFormat="1" applyFont="1" applyFill="1" applyBorder="1"/>
    <xf numFmtId="43" fontId="34" fillId="2" borderId="0" xfId="0" applyNumberFormat="1" applyFont="1" applyFill="1"/>
    <xf numFmtId="167" fontId="40" fillId="2" borderId="15" xfId="1" applyNumberFormat="1" applyFont="1" applyFill="1" applyBorder="1" applyAlignment="1">
      <alignment horizontal="center"/>
    </xf>
    <xf numFmtId="167" fontId="40" fillId="2" borderId="0" xfId="5" applyNumberFormat="1" applyFont="1" applyFill="1" applyAlignment="1">
      <alignment vertical="center"/>
    </xf>
    <xf numFmtId="41" fontId="51" fillId="2" borderId="0" xfId="1" applyFont="1" applyFill="1"/>
    <xf numFmtId="167" fontId="46" fillId="2" borderId="15" xfId="1" applyNumberFormat="1" applyFont="1" applyFill="1" applyBorder="1" applyAlignment="1">
      <alignment horizontal="center"/>
    </xf>
    <xf numFmtId="0" fontId="52" fillId="0" borderId="0" xfId="0" applyFont="1"/>
    <xf numFmtId="0" fontId="53" fillId="0" borderId="0" xfId="0" applyFont="1"/>
    <xf numFmtId="168" fontId="53" fillId="0" borderId="0" xfId="60" applyNumberFormat="1" applyFont="1"/>
    <xf numFmtId="0" fontId="54" fillId="4" borderId="41" xfId="0" applyFont="1" applyFill="1" applyBorder="1" applyAlignment="1">
      <alignment horizontal="center" vertical="center"/>
    </xf>
    <xf numFmtId="0" fontId="54" fillId="4" borderId="42" xfId="0" applyFont="1" applyFill="1" applyBorder="1" applyAlignment="1">
      <alignment horizontal="center" vertical="center"/>
    </xf>
    <xf numFmtId="0" fontId="54" fillId="4" borderId="42" xfId="0" applyFont="1" applyFill="1" applyBorder="1" applyAlignment="1">
      <alignment horizontal="center" vertical="center" wrapText="1"/>
    </xf>
    <xf numFmtId="168" fontId="54" fillId="4" borderId="43" xfId="6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3" fillId="0" borderId="44" xfId="0" applyFont="1" applyBorder="1" applyAlignment="1">
      <alignment horizontal="center"/>
    </xf>
    <xf numFmtId="0" fontId="53" fillId="0" borderId="34" xfId="0" applyFont="1" applyBorder="1"/>
    <xf numFmtId="0" fontId="53" fillId="0" borderId="45" xfId="0" applyFont="1" applyBorder="1" applyAlignment="1">
      <alignment horizontal="center"/>
    </xf>
    <xf numFmtId="0" fontId="55" fillId="0" borderId="45" xfId="0" applyFont="1" applyBorder="1" applyAlignment="1">
      <alignment horizontal="center"/>
    </xf>
    <xf numFmtId="0" fontId="53" fillId="0" borderId="45" xfId="0" applyFont="1" applyBorder="1"/>
    <xf numFmtId="168" fontId="53" fillId="0" borderId="46" xfId="60" applyNumberFormat="1" applyFont="1" applyBorder="1"/>
    <xf numFmtId="0" fontId="53" fillId="0" borderId="47" xfId="0" applyFont="1" applyBorder="1" applyAlignment="1">
      <alignment horizontal="center"/>
    </xf>
    <xf numFmtId="0" fontId="53" fillId="0" borderId="27" xfId="0" applyFont="1" applyBorder="1"/>
    <xf numFmtId="0" fontId="53" fillId="0" borderId="35" xfId="0" applyFont="1" applyBorder="1" applyAlignment="1">
      <alignment horizontal="center"/>
    </xf>
    <xf numFmtId="0" fontId="55" fillId="0" borderId="35" xfId="0" applyFont="1" applyBorder="1" applyAlignment="1">
      <alignment horizontal="center"/>
    </xf>
    <xf numFmtId="0" fontId="53" fillId="0" borderId="35" xfId="0" applyFont="1" applyBorder="1"/>
    <xf numFmtId="168" fontId="53" fillId="0" borderId="48" xfId="60" applyNumberFormat="1" applyFont="1" applyBorder="1"/>
    <xf numFmtId="0" fontId="53" fillId="0" borderId="27" xfId="0" quotePrefix="1" applyFont="1" applyBorder="1" applyAlignment="1">
      <alignment horizontal="center"/>
    </xf>
    <xf numFmtId="0" fontId="53" fillId="0" borderId="35" xfId="0" quotePrefix="1" applyFont="1" applyBorder="1"/>
    <xf numFmtId="0" fontId="56" fillId="0" borderId="35" xfId="0" quotePrefix="1" applyFont="1" applyBorder="1" applyAlignment="1">
      <alignment horizontal="center"/>
    </xf>
    <xf numFmtId="0" fontId="53" fillId="0" borderId="27" xfId="0" quotePrefix="1" applyFont="1" applyBorder="1"/>
    <xf numFmtId="0" fontId="57" fillId="0" borderId="35" xfId="0" quotePrefix="1" applyFont="1" applyBorder="1" applyAlignment="1">
      <alignment horizontal="center"/>
    </xf>
    <xf numFmtId="0" fontId="53" fillId="0" borderId="27" xfId="0" applyFont="1" applyBorder="1" applyAlignment="1">
      <alignment horizontal="center"/>
    </xf>
    <xf numFmtId="0" fontId="53" fillId="5" borderId="47" xfId="0" applyFont="1" applyFill="1" applyBorder="1" applyAlignment="1">
      <alignment horizontal="center"/>
    </xf>
    <xf numFmtId="0" fontId="53" fillId="5" borderId="27" xfId="0" applyFont="1" applyFill="1" applyBorder="1"/>
    <xf numFmtId="0" fontId="53" fillId="5" borderId="27" xfId="0" applyFont="1" applyFill="1" applyBorder="1" applyAlignment="1">
      <alignment horizontal="center"/>
    </xf>
    <xf numFmtId="0" fontId="58" fillId="5" borderId="35" xfId="0" quotePrefix="1" applyFont="1" applyFill="1" applyBorder="1" applyAlignment="1">
      <alignment horizontal="center"/>
    </xf>
    <xf numFmtId="0" fontId="56" fillId="5" borderId="35" xfId="0" quotePrefix="1" applyFont="1" applyFill="1" applyBorder="1" applyAlignment="1">
      <alignment horizontal="center"/>
    </xf>
    <xf numFmtId="0" fontId="53" fillId="5" borderId="35" xfId="0" applyFont="1" applyFill="1" applyBorder="1"/>
    <xf numFmtId="168" fontId="53" fillId="5" borderId="48" xfId="60" applyNumberFormat="1" applyFont="1" applyFill="1" applyBorder="1"/>
    <xf numFmtId="0" fontId="57" fillId="0" borderId="35" xfId="0" quotePrefix="1" applyFont="1" applyBorder="1"/>
    <xf numFmtId="0" fontId="55" fillId="0" borderId="35" xfId="0" quotePrefix="1" applyFont="1" applyBorder="1" applyAlignment="1">
      <alignment horizontal="center"/>
    </xf>
    <xf numFmtId="0" fontId="53" fillId="0" borderId="35" xfId="0" quotePrefix="1" applyFont="1" applyBorder="1" applyAlignment="1">
      <alignment horizontal="center"/>
    </xf>
    <xf numFmtId="0" fontId="53" fillId="0" borderId="49" xfId="0" applyFont="1" applyBorder="1" applyAlignment="1">
      <alignment horizontal="center"/>
    </xf>
    <xf numFmtId="0" fontId="53" fillId="0" borderId="50" xfId="0" applyFont="1" applyBorder="1"/>
    <xf numFmtId="0" fontId="53" fillId="0" borderId="50" xfId="0" applyFont="1" applyBorder="1" applyAlignment="1">
      <alignment horizontal="center"/>
    </xf>
    <xf numFmtId="0" fontId="53" fillId="0" borderId="51" xfId="0" applyFont="1" applyBorder="1" applyAlignment="1">
      <alignment horizontal="center"/>
    </xf>
    <xf numFmtId="0" fontId="55" fillId="0" borderId="51" xfId="0" applyFont="1" applyBorder="1" applyAlignment="1">
      <alignment horizontal="center"/>
    </xf>
    <xf numFmtId="0" fontId="53" fillId="0" borderId="51" xfId="0" applyFont="1" applyBorder="1"/>
    <xf numFmtId="168" fontId="53" fillId="0" borderId="52" xfId="60" applyNumberFormat="1" applyFont="1" applyBorder="1"/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53" fillId="0" borderId="0" xfId="0" quotePrefix="1" applyFont="1" applyAlignment="1">
      <alignment horizontal="center"/>
    </xf>
    <xf numFmtId="0" fontId="54" fillId="0" borderId="0" xfId="62" applyFont="1" applyAlignment="1">
      <alignment horizontal="center" vertical="center"/>
    </xf>
    <xf numFmtId="0" fontId="54" fillId="0" borderId="0" xfId="62" applyFont="1" applyAlignment="1">
      <alignment vertical="center"/>
    </xf>
    <xf numFmtId="0" fontId="53" fillId="0" borderId="0" xfId="62" applyFont="1"/>
    <xf numFmtId="0" fontId="54" fillId="0" borderId="0" xfId="62" applyFont="1" applyAlignment="1">
      <alignment horizontal="left" vertical="center"/>
    </xf>
    <xf numFmtId="0" fontId="53" fillId="0" borderId="0" xfId="62" applyFont="1" applyAlignment="1">
      <alignment horizontal="center" vertical="center"/>
    </xf>
    <xf numFmtId="0" fontId="53" fillId="0" borderId="0" xfId="62" applyFont="1" applyAlignment="1">
      <alignment vertical="center"/>
    </xf>
    <xf numFmtId="0" fontId="54" fillId="0" borderId="0" xfId="62" applyFont="1" applyAlignment="1">
      <alignment horizontal="left"/>
    </xf>
    <xf numFmtId="14" fontId="54" fillId="0" borderId="0" xfId="62" applyNumberFormat="1" applyFont="1" applyAlignment="1">
      <alignment horizontal="left"/>
    </xf>
    <xf numFmtId="0" fontId="53" fillId="0" borderId="0" xfId="62" applyFont="1" applyAlignment="1">
      <alignment horizontal="left"/>
    </xf>
    <xf numFmtId="14" fontId="53" fillId="0" borderId="0" xfId="62" applyNumberFormat="1" applyFont="1" applyAlignment="1">
      <alignment horizontal="left"/>
    </xf>
    <xf numFmtId="0" fontId="53" fillId="0" borderId="0" xfId="62" quotePrefix="1" applyFont="1" applyAlignment="1">
      <alignment horizontal="left"/>
    </xf>
    <xf numFmtId="0" fontId="54" fillId="0" borderId="0" xfId="62" quotePrefix="1" applyFont="1" applyAlignment="1">
      <alignment horizontal="left"/>
    </xf>
    <xf numFmtId="0" fontId="53" fillId="0" borderId="0" xfId="62" applyFont="1" applyAlignment="1">
      <alignment horizontal="center"/>
    </xf>
    <xf numFmtId="0" fontId="63" fillId="6" borderId="27" xfId="62" applyFont="1" applyFill="1" applyBorder="1" applyAlignment="1">
      <alignment horizontal="center"/>
    </xf>
    <xf numFmtId="0" fontId="63" fillId="6" borderId="35" xfId="62" applyFont="1" applyFill="1" applyBorder="1" applyAlignment="1">
      <alignment horizontal="center"/>
    </xf>
    <xf numFmtId="0" fontId="53" fillId="0" borderId="27" xfId="62" applyFont="1" applyBorder="1" applyAlignment="1">
      <alignment horizontal="center"/>
    </xf>
    <xf numFmtId="0" fontId="53" fillId="0" borderId="35" xfId="62" applyFont="1" applyBorder="1"/>
    <xf numFmtId="0" fontId="53" fillId="0" borderId="29" xfId="62" applyFont="1" applyBorder="1"/>
    <xf numFmtId="171" fontId="53" fillId="0" borderId="27" xfId="63" applyNumberFormat="1" applyFont="1" applyBorder="1"/>
    <xf numFmtId="0" fontId="53" fillId="0" borderId="35" xfId="62" applyFont="1" applyBorder="1" applyAlignment="1">
      <alignment horizontal="center"/>
    </xf>
    <xf numFmtId="168" fontId="53" fillId="0" borderId="27" xfId="60" applyNumberFormat="1" applyFont="1" applyBorder="1"/>
    <xf numFmtId="168" fontId="53" fillId="0" borderId="27" xfId="60" applyNumberFormat="1" applyFont="1" applyFill="1" applyBorder="1"/>
    <xf numFmtId="0" fontId="53" fillId="0" borderId="29" xfId="62" quotePrefix="1" applyFont="1" applyBorder="1"/>
    <xf numFmtId="0" fontId="53" fillId="0" borderId="53" xfId="62" applyFont="1" applyBorder="1" applyAlignment="1">
      <alignment horizontal="center"/>
    </xf>
    <xf numFmtId="0" fontId="53" fillId="0" borderId="54" xfId="62" quotePrefix="1" applyFont="1" applyBorder="1"/>
    <xf numFmtId="0" fontId="53" fillId="0" borderId="11" xfId="62" applyFont="1" applyBorder="1" applyAlignment="1">
      <alignment horizontal="center"/>
    </xf>
    <xf numFmtId="0" fontId="63" fillId="6" borderId="29" xfId="62" applyFont="1" applyFill="1" applyBorder="1"/>
    <xf numFmtId="168" fontId="63" fillId="6" borderId="29" xfId="60" applyNumberFormat="1" applyFont="1" applyFill="1" applyBorder="1"/>
    <xf numFmtId="168" fontId="63" fillId="6" borderId="27" xfId="60" applyNumberFormat="1" applyFont="1" applyFill="1" applyBorder="1"/>
    <xf numFmtId="168" fontId="53" fillId="0" borderId="0" xfId="62" applyNumberFormat="1" applyFont="1"/>
    <xf numFmtId="9" fontId="53" fillId="0" borderId="27" xfId="62" applyNumberFormat="1" applyFont="1" applyBorder="1" applyAlignment="1">
      <alignment horizontal="center"/>
    </xf>
    <xf numFmtId="0" fontId="57" fillId="0" borderId="0" xfId="62" applyFont="1" applyAlignment="1">
      <alignment horizontal="center"/>
    </xf>
    <xf numFmtId="0" fontId="57" fillId="0" borderId="35" xfId="62" applyFont="1" applyBorder="1" applyAlignment="1">
      <alignment horizontal="center"/>
    </xf>
    <xf numFmtId="0" fontId="57" fillId="0" borderId="29" xfId="62" applyFont="1" applyBorder="1"/>
    <xf numFmtId="0" fontId="57" fillId="0" borderId="27" xfId="62" applyFont="1" applyBorder="1" applyAlignment="1">
      <alignment horizontal="center"/>
    </xf>
    <xf numFmtId="168" fontId="57" fillId="0" borderId="27" xfId="60" applyNumberFormat="1" applyFont="1" applyFill="1" applyBorder="1"/>
    <xf numFmtId="0" fontId="57" fillId="0" borderId="0" xfId="62" applyFont="1"/>
    <xf numFmtId="0" fontId="54" fillId="0" borderId="0" xfId="62" applyFont="1" applyAlignment="1">
      <alignment horizontal="center"/>
    </xf>
    <xf numFmtId="0" fontId="54" fillId="0" borderId="0" xfId="62" applyFont="1"/>
    <xf numFmtId="165" fontId="53" fillId="0" borderId="0" xfId="64" applyFont="1" applyBorder="1"/>
    <xf numFmtId="168" fontId="53" fillId="0" borderId="0" xfId="63" applyNumberFormat="1" applyFont="1" applyBorder="1"/>
    <xf numFmtId="0" fontId="54" fillId="0" borderId="55" xfId="62" applyFont="1" applyBorder="1"/>
    <xf numFmtId="0" fontId="53" fillId="0" borderId="56" xfId="62" applyFont="1" applyBorder="1"/>
    <xf numFmtId="0" fontId="54" fillId="0" borderId="57" xfId="62" applyFont="1" applyBorder="1"/>
    <xf numFmtId="0" fontId="53" fillId="0" borderId="58" xfId="62" applyFont="1" applyBorder="1"/>
    <xf numFmtId="0" fontId="61" fillId="0" borderId="0" xfId="61"/>
    <xf numFmtId="0" fontId="66" fillId="0" borderId="0" xfId="65" applyFont="1"/>
    <xf numFmtId="0" fontId="54" fillId="0" borderId="59" xfId="62" applyFont="1" applyBorder="1"/>
    <xf numFmtId="0" fontId="53" fillId="0" borderId="60" xfId="62" applyFont="1" applyBorder="1"/>
    <xf numFmtId="43" fontId="53" fillId="0" borderId="0" xfId="60" applyFont="1"/>
    <xf numFmtId="43" fontId="53" fillId="0" borderId="0" xfId="60" applyFont="1" applyAlignment="1">
      <alignment horizontal="center"/>
    </xf>
    <xf numFmtId="43" fontId="57" fillId="0" borderId="0" xfId="60" applyFont="1"/>
    <xf numFmtId="43" fontId="54" fillId="0" borderId="0" xfId="60" applyFont="1"/>
    <xf numFmtId="9" fontId="57" fillId="0" borderId="27" xfId="62" quotePrefix="1" applyNumberFormat="1" applyFont="1" applyBorder="1" applyAlignment="1">
      <alignment horizontal="center"/>
    </xf>
    <xf numFmtId="168" fontId="54" fillId="0" borderId="62" xfId="62" applyNumberFormat="1" applyFont="1" applyBorder="1" applyAlignment="1">
      <alignment horizontal="center"/>
    </xf>
    <xf numFmtId="0" fontId="54" fillId="0" borderId="61" xfId="62" applyFont="1" applyBorder="1" applyAlignment="1">
      <alignment horizontal="center"/>
    </xf>
    <xf numFmtId="0" fontId="30" fillId="2" borderId="20" xfId="10" applyFont="1" applyFill="1" applyBorder="1" applyAlignment="1">
      <alignment horizontal="center" vertical="center"/>
    </xf>
    <xf numFmtId="0" fontId="30" fillId="2" borderId="21" xfId="10" applyFont="1" applyFill="1" applyBorder="1" applyAlignment="1">
      <alignment horizontal="center" vertical="center"/>
    </xf>
    <xf numFmtId="0" fontId="33" fillId="2" borderId="0" xfId="3" applyFont="1" applyFill="1" applyAlignment="1">
      <alignment horizontal="center" vertical="center"/>
    </xf>
    <xf numFmtId="0" fontId="30" fillId="3" borderId="1" xfId="3" applyFont="1" applyFill="1" applyBorder="1" applyAlignment="1">
      <alignment horizontal="center" vertical="center"/>
    </xf>
    <xf numFmtId="0" fontId="30" fillId="3" borderId="9" xfId="3" applyFont="1" applyFill="1" applyBorder="1" applyAlignment="1">
      <alignment horizontal="center" vertical="center"/>
    </xf>
    <xf numFmtId="0" fontId="30" fillId="3" borderId="2" xfId="3" applyFont="1" applyFill="1" applyBorder="1" applyAlignment="1">
      <alignment horizontal="center" vertical="center" wrapText="1"/>
    </xf>
    <xf numFmtId="0" fontId="30" fillId="3" borderId="10" xfId="3" applyFont="1" applyFill="1" applyBorder="1" applyAlignment="1">
      <alignment horizontal="center" vertical="center" wrapText="1"/>
    </xf>
    <xf numFmtId="0" fontId="30" fillId="3" borderId="3" xfId="3" applyFont="1" applyFill="1" applyBorder="1" applyAlignment="1">
      <alignment horizontal="center"/>
    </xf>
    <xf numFmtId="0" fontId="30" fillId="3" borderId="4" xfId="3" applyFont="1" applyFill="1" applyBorder="1" applyAlignment="1">
      <alignment horizontal="center"/>
    </xf>
    <xf numFmtId="0" fontId="30" fillId="3" borderId="5" xfId="3" applyFont="1" applyFill="1" applyBorder="1" applyAlignment="1">
      <alignment horizontal="center"/>
    </xf>
    <xf numFmtId="168" fontId="30" fillId="3" borderId="3" xfId="3" applyNumberFormat="1" applyFont="1" applyFill="1" applyBorder="1" applyAlignment="1">
      <alignment horizontal="center"/>
    </xf>
    <xf numFmtId="168" fontId="30" fillId="3" borderId="6" xfId="3" applyNumberFormat="1" applyFont="1" applyFill="1" applyBorder="1" applyAlignment="1">
      <alignment horizontal="center"/>
    </xf>
    <xf numFmtId="0" fontId="30" fillId="3" borderId="7" xfId="3" applyFont="1" applyFill="1" applyBorder="1" applyAlignment="1">
      <alignment horizontal="center" vertical="center"/>
    </xf>
    <xf numFmtId="0" fontId="30" fillId="3" borderId="13" xfId="3" applyFont="1" applyFill="1" applyBorder="1" applyAlignment="1">
      <alignment horizontal="center" vertical="center"/>
    </xf>
    <xf numFmtId="167" fontId="30" fillId="3" borderId="2" xfId="1" applyNumberFormat="1" applyFont="1" applyFill="1" applyBorder="1" applyAlignment="1">
      <alignment horizontal="center" vertical="center"/>
    </xf>
    <xf numFmtId="167" fontId="30" fillId="3" borderId="10" xfId="1" applyNumberFormat="1" applyFont="1" applyFill="1" applyBorder="1" applyAlignment="1">
      <alignment horizontal="center" vertical="center"/>
    </xf>
    <xf numFmtId="0" fontId="30" fillId="3" borderId="2" xfId="3" applyFont="1" applyFill="1" applyBorder="1" applyAlignment="1">
      <alignment horizontal="center" vertical="center"/>
    </xf>
    <xf numFmtId="0" fontId="30" fillId="3" borderId="10" xfId="3" applyFont="1" applyFill="1" applyBorder="1" applyAlignment="1">
      <alignment horizontal="center" vertical="center"/>
    </xf>
    <xf numFmtId="41" fontId="30" fillId="3" borderId="8" xfId="1" applyFont="1" applyFill="1" applyBorder="1" applyAlignment="1">
      <alignment horizontal="center" vertical="center"/>
    </xf>
    <xf numFmtId="41" fontId="30" fillId="3" borderId="37" xfId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17" xfId="10" applyFont="1" applyFill="1" applyBorder="1" applyAlignment="1">
      <alignment horizontal="center" vertical="center"/>
    </xf>
    <xf numFmtId="0" fontId="30" fillId="2" borderId="18" xfId="10" applyFont="1" applyFill="1" applyBorder="1" applyAlignment="1">
      <alignment horizontal="center" vertical="center"/>
    </xf>
    <xf numFmtId="0" fontId="30" fillId="2" borderId="32" xfId="10" applyFont="1" applyFill="1" applyBorder="1" applyAlignment="1">
      <alignment horizontal="center" vertical="center"/>
    </xf>
    <xf numFmtId="167" fontId="34" fillId="2" borderId="0" xfId="1" applyNumberFormat="1" applyFont="1" applyFill="1" applyAlignment="1">
      <alignment horizontal="center"/>
    </xf>
    <xf numFmtId="0" fontId="34" fillId="2" borderId="0" xfId="10" applyFont="1" applyFill="1" applyAlignment="1">
      <alignment horizontal="center"/>
    </xf>
    <xf numFmtId="167" fontId="48" fillId="2" borderId="0" xfId="1" applyNumberFormat="1" applyFont="1" applyFill="1" applyAlignment="1">
      <alignment horizontal="center"/>
    </xf>
    <xf numFmtId="0" fontId="48" fillId="2" borderId="0" xfId="10" applyFont="1" applyFill="1" applyAlignment="1">
      <alignment horizontal="center"/>
    </xf>
    <xf numFmtId="0" fontId="54" fillId="0" borderId="0" xfId="62" applyFont="1" applyAlignment="1">
      <alignment horizontal="center"/>
    </xf>
    <xf numFmtId="0" fontId="53" fillId="0" borderId="0" xfId="62" applyFont="1" applyAlignment="1">
      <alignment horizontal="center" vertical="center"/>
    </xf>
    <xf numFmtId="0" fontId="54" fillId="0" borderId="0" xfId="62" applyFont="1" applyAlignment="1">
      <alignment horizontal="center" vertical="center"/>
    </xf>
    <xf numFmtId="0" fontId="62" fillId="0" borderId="0" xfId="62" applyFont="1" applyAlignment="1">
      <alignment horizontal="center" vertical="center"/>
    </xf>
    <xf numFmtId="0" fontId="54" fillId="0" borderId="0" xfId="62" quotePrefix="1" applyFont="1" applyAlignment="1">
      <alignment horizontal="left"/>
    </xf>
    <xf numFmtId="0" fontId="53" fillId="0" borderId="0" xfId="62" quotePrefix="1" applyFont="1" applyAlignment="1">
      <alignment horizontal="left" vertical="top" wrapText="1"/>
    </xf>
    <xf numFmtId="0" fontId="63" fillId="6" borderId="35" xfId="62" applyFont="1" applyFill="1" applyBorder="1" applyAlignment="1">
      <alignment horizontal="center"/>
    </xf>
    <xf numFmtId="0" fontId="63" fillId="6" borderId="29" xfId="62" applyFont="1" applyFill="1" applyBorder="1" applyAlignment="1">
      <alignment horizontal="center"/>
    </xf>
    <xf numFmtId="0" fontId="64" fillId="0" borderId="0" xfId="62" applyFont="1" applyAlignment="1">
      <alignment horizontal="left" vertical="top"/>
    </xf>
    <xf numFmtId="0" fontId="42" fillId="0" borderId="35" xfId="0" applyFont="1" applyBorder="1" applyAlignment="1">
      <alignment horizontal="center"/>
    </xf>
    <xf numFmtId="0" fontId="42" fillId="0" borderId="29" xfId="0" applyFont="1" applyBorder="1" applyAlignment="1">
      <alignment horizontal="center"/>
    </xf>
    <xf numFmtId="164" fontId="42" fillId="0" borderId="35" xfId="0" applyNumberFormat="1" applyFont="1" applyBorder="1" applyAlignment="1">
      <alignment horizontal="center"/>
    </xf>
    <xf numFmtId="164" fontId="42" fillId="0" borderId="29" xfId="0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164" fontId="40" fillId="0" borderId="35" xfId="0" applyNumberFormat="1" applyFont="1" applyBorder="1" applyAlignment="1">
      <alignment horizontal="center"/>
    </xf>
    <xf numFmtId="164" fontId="40" fillId="0" borderId="29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</cellXfs>
  <cellStyles count="66">
    <cellStyle name="Comma" xfId="60" builtinId="3"/>
    <cellStyle name="Comma [0]" xfId="1" builtinId="6"/>
    <cellStyle name="Comma [0] 10 2" xfId="39" xr:uid="{00000000-0005-0000-0000-000002000000}"/>
    <cellStyle name="Comma [0] 10 2 2 2 3 3" xfId="13" xr:uid="{00000000-0005-0000-0000-000003000000}"/>
    <cellStyle name="Comma [0] 100" xfId="49" xr:uid="{00000000-0005-0000-0000-000004000000}"/>
    <cellStyle name="Comma [0] 11 5" xfId="16" xr:uid="{00000000-0005-0000-0000-000005000000}"/>
    <cellStyle name="Comma [0] 2" xfId="64" xr:uid="{A8046ECE-4483-490C-A0ED-ED51C9E06544}"/>
    <cellStyle name="Comma [0] 2 10" xfId="57" xr:uid="{00000000-0005-0000-0000-000006000000}"/>
    <cellStyle name="Comma [0] 2 2" xfId="5" xr:uid="{00000000-0005-0000-0000-000007000000}"/>
    <cellStyle name="Comma [0] 2 2 2 2 2" xfId="7" xr:uid="{00000000-0005-0000-0000-000008000000}"/>
    <cellStyle name="Comma [0] 2 3 3" xfId="17" xr:uid="{00000000-0005-0000-0000-000009000000}"/>
    <cellStyle name="Comma [0] 3 2" xfId="6" xr:uid="{00000000-0005-0000-0000-00000A000000}"/>
    <cellStyle name="Comma [0] 3 2 3" xfId="8" xr:uid="{00000000-0005-0000-0000-00000B000000}"/>
    <cellStyle name="Comma [0] 3 2 3 2 2" xfId="22" xr:uid="{00000000-0005-0000-0000-00000C000000}"/>
    <cellStyle name="Comma [0] 3 2 3 8" xfId="48" xr:uid="{00000000-0005-0000-0000-00000D000000}"/>
    <cellStyle name="Comma [0] 3 2 4" xfId="26" xr:uid="{00000000-0005-0000-0000-00000E000000}"/>
    <cellStyle name="Comma [0] 33 3" xfId="14" xr:uid="{00000000-0005-0000-0000-00000F000000}"/>
    <cellStyle name="Comma [0] 37" xfId="18" xr:uid="{00000000-0005-0000-0000-000010000000}"/>
    <cellStyle name="Comma [0] 47" xfId="9" xr:uid="{00000000-0005-0000-0000-000011000000}"/>
    <cellStyle name="Comma [0] 48" xfId="41" xr:uid="{00000000-0005-0000-0000-000012000000}"/>
    <cellStyle name="Comma [0] 49" xfId="42" xr:uid="{00000000-0005-0000-0000-000013000000}"/>
    <cellStyle name="Comma [0] 52" xfId="40" xr:uid="{00000000-0005-0000-0000-000014000000}"/>
    <cellStyle name="Comma [0] 65 3" xfId="50" xr:uid="{00000000-0005-0000-0000-000015000000}"/>
    <cellStyle name="Comma [0] 67" xfId="47" xr:uid="{00000000-0005-0000-0000-000016000000}"/>
    <cellStyle name="Comma [0] 69 3" xfId="54" xr:uid="{00000000-0005-0000-0000-000017000000}"/>
    <cellStyle name="Comma [0] 70" xfId="45" xr:uid="{00000000-0005-0000-0000-000018000000}"/>
    <cellStyle name="Comma [0] 70 3" xfId="51" xr:uid="{00000000-0005-0000-0000-000019000000}"/>
    <cellStyle name="Comma [0] 71 3" xfId="58" xr:uid="{00000000-0005-0000-0000-00001A000000}"/>
    <cellStyle name="Comma [0] 86" xfId="46" xr:uid="{00000000-0005-0000-0000-00001B000000}"/>
    <cellStyle name="Comma [0] 87" xfId="53" xr:uid="{00000000-0005-0000-0000-00001C000000}"/>
    <cellStyle name="Comma [0] 99" xfId="56" xr:uid="{00000000-0005-0000-0000-00001D000000}"/>
    <cellStyle name="Comma 2" xfId="4" xr:uid="{00000000-0005-0000-0000-00001E000000}"/>
    <cellStyle name="Comma 2 2" xfId="15" xr:uid="{00000000-0005-0000-0000-00001F000000}"/>
    <cellStyle name="Comma 2 2 2" xfId="20" xr:uid="{00000000-0005-0000-0000-000020000000}"/>
    <cellStyle name="Comma 2 3" xfId="25" xr:uid="{00000000-0005-0000-0000-000021000000}"/>
    <cellStyle name="Comma 2 3 2" xfId="34" xr:uid="{00000000-0005-0000-0000-000022000000}"/>
    <cellStyle name="Comma 26 2 2" xfId="44" xr:uid="{00000000-0005-0000-0000-000023000000}"/>
    <cellStyle name="Comma 3" xfId="36" xr:uid="{00000000-0005-0000-0000-000024000000}"/>
    <cellStyle name="Comma 3 3 2" xfId="11" xr:uid="{00000000-0005-0000-0000-000025000000}"/>
    <cellStyle name="Comma 4" xfId="63" xr:uid="{8784DCDA-1E4C-469C-BC7A-E74C290222D8}"/>
    <cellStyle name="Comma 41" xfId="29" xr:uid="{00000000-0005-0000-0000-000026000000}"/>
    <cellStyle name="Hyperlink" xfId="61" builtinId="8"/>
    <cellStyle name="Hyperlink 2" xfId="65" xr:uid="{67597B84-BAC5-41F7-860C-41FF40F82761}"/>
    <cellStyle name="Normal" xfId="0" builtinId="0"/>
    <cellStyle name="Normal 11" xfId="38" xr:uid="{00000000-0005-0000-0000-000028000000}"/>
    <cellStyle name="Normal 2" xfId="3" xr:uid="{00000000-0005-0000-0000-000029000000}"/>
    <cellStyle name="Normal 2 2" xfId="23" xr:uid="{00000000-0005-0000-0000-00002A000000}"/>
    <cellStyle name="Normal 2 2 2" xfId="21" xr:uid="{00000000-0005-0000-0000-00002B000000}"/>
    <cellStyle name="Normal 2 2 2 2 2 2 2 2 2 2 2 3" xfId="55" xr:uid="{00000000-0005-0000-0000-00002C000000}"/>
    <cellStyle name="Normal 2 2 3" xfId="10" xr:uid="{00000000-0005-0000-0000-00002D000000}"/>
    <cellStyle name="Normal 2 2 3 14" xfId="52" xr:uid="{00000000-0005-0000-0000-00002E000000}"/>
    <cellStyle name="Normal 2 2 3 2" xfId="19" xr:uid="{00000000-0005-0000-0000-00002F000000}"/>
    <cellStyle name="Normal 2 2 3 2 2" xfId="33" xr:uid="{00000000-0005-0000-0000-000030000000}"/>
    <cellStyle name="Normal 2 2 3 3" xfId="24" xr:uid="{00000000-0005-0000-0000-000031000000}"/>
    <cellStyle name="Normal 2 2 3 3 2" xfId="31" xr:uid="{00000000-0005-0000-0000-000032000000}"/>
    <cellStyle name="Normal 2 2 3 5" xfId="43" xr:uid="{00000000-0005-0000-0000-000033000000}"/>
    <cellStyle name="Normal 2 2 4" xfId="12" xr:uid="{00000000-0005-0000-0000-000034000000}"/>
    <cellStyle name="Normal 2 2 5" xfId="30" xr:uid="{00000000-0005-0000-0000-000035000000}"/>
    <cellStyle name="Normal 2 24 2" xfId="27" xr:uid="{00000000-0005-0000-0000-000036000000}"/>
    <cellStyle name="Normal 2 24 2 2" xfId="32" xr:uid="{00000000-0005-0000-0000-000037000000}"/>
    <cellStyle name="Normal 2 26 2" xfId="59" xr:uid="{00000000-0005-0000-0000-000038000000}"/>
    <cellStyle name="Normal 26" xfId="28" xr:uid="{00000000-0005-0000-0000-000039000000}"/>
    <cellStyle name="Normal 3" xfId="35" xr:uid="{00000000-0005-0000-0000-00003A000000}"/>
    <cellStyle name="Normal 3 2 6" xfId="37" xr:uid="{00000000-0005-0000-0000-00003B000000}"/>
    <cellStyle name="Normal 4" xfId="62" xr:uid="{E734BA0F-5BEE-4F80-99AC-0FA25F8AC445}"/>
    <cellStyle name="Normal_RKP KRNT" xfId="2" xr:uid="{00000000-0005-0000-0000-00003C000000}"/>
  </cellStyles>
  <dxfs count="0"/>
  <tableStyles count="0" defaultTableStyle="TableStyleMedium9" defaultPivotStyle="PivotStyleLight16"/>
  <colors>
    <mruColors>
      <color rgb="FF8E7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40821</xdr:rowOff>
    </xdr:from>
    <xdr:to>
      <xdr:col>9</xdr:col>
      <xdr:colOff>2650369</xdr:colOff>
      <xdr:row>5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21"/>
          <a:ext cx="17430750" cy="117021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38100</xdr:rowOff>
    </xdr:from>
    <xdr:to>
      <xdr:col>7</xdr:col>
      <xdr:colOff>517239</xdr:colOff>
      <xdr:row>4</xdr:row>
      <xdr:rowOff>39687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91421-B54D-4451-A3B1-285B9D7BF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8100"/>
          <a:ext cx="6775164" cy="725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40821</xdr:rowOff>
    </xdr:from>
    <xdr:to>
      <xdr:col>11</xdr:col>
      <xdr:colOff>2470618</xdr:colOff>
      <xdr:row>5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2789A-726A-4BCE-AFC1-3CB2C2EB11F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21"/>
          <a:ext cx="18209986" cy="113392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38100</xdr:rowOff>
    </xdr:from>
    <xdr:to>
      <xdr:col>7</xdr:col>
      <xdr:colOff>517239</xdr:colOff>
      <xdr:row>4</xdr:row>
      <xdr:rowOff>39687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5CDF9-7EBE-4BA7-A39D-70F03764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8100"/>
          <a:ext cx="6775164" cy="725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493518</xdr:colOff>
      <xdr:row>0</xdr:row>
      <xdr:rowOff>15489</xdr:rowOff>
    </xdr:from>
    <xdr:to>
      <xdr:col>6</xdr:col>
      <xdr:colOff>45844</xdr:colOff>
      <xdr:row>3</xdr:row>
      <xdr:rowOff>170289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518" y="15489"/>
          <a:ext cx="8651411" cy="921446"/>
        </a:xfrm>
        <a:prstGeom prst="rect">
          <a:avLst/>
        </a:prstGeom>
        <a:noFill/>
      </xdr:spPr>
    </xdr:pic>
    <xdr:clientData/>
  </xdr:twoCellAnchor>
  <xdr:oneCellAnchor>
    <xdr:from>
      <xdr:col>0</xdr:col>
      <xdr:colOff>485774</xdr:colOff>
      <xdr:row>44</xdr:row>
      <xdr:rowOff>28576</xdr:rowOff>
    </xdr:from>
    <xdr:ext cx="8651876" cy="857249"/>
    <xdr:pic>
      <xdr:nvPicPr>
        <xdr:cNvPr id="3" name="Picture 2">
          <a:extLst>
            <a:ext uri="{FF2B5EF4-FFF2-40B4-BE49-F238E27FC236}">
              <a16:creationId xmlns:a16="http://schemas.microsoft.com/office/drawing/2014/main" id="{7D8B5656-3839-42FF-84A3-E886DCFD92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" y="28576"/>
          <a:ext cx="8651876" cy="857249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2812\AppData\Roaming\Microsoft\AddIns\Terbilang.xlam" TargetMode="External"/><Relationship Id="rId1" Type="http://schemas.openxmlformats.org/officeDocument/2006/relationships/externalLinkPath" Target="/Users/62812/AppData/Roaming/Microsoft/AddIns/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BPJSTK"/>
      <sheetName val="BPJSKes"/>
      <sheetName val="Pem"/>
      <sheetName val="Realisasi"/>
      <sheetName val="Jurnal"/>
    </sheetNames>
    <definedNames>
      <definedName name="terbilang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estu.andrian@dmagroup.co.i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estu.andrian@dmagroup.co.i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433F-5919-40E1-829F-1589095DD489}">
  <sheetPr codeName="Sheet1"/>
  <dimension ref="B1:I46"/>
  <sheetViews>
    <sheetView tabSelected="1" zoomScale="80" zoomScaleNormal="80" workbookViewId="0">
      <selection activeCell="D3" sqref="D3:D33"/>
    </sheetView>
  </sheetViews>
  <sheetFormatPr defaultColWidth="8.88671875" defaultRowHeight="13.8" x14ac:dyDescent="0.25"/>
  <cols>
    <col min="1" max="1" width="1.6640625" style="194" customWidth="1"/>
    <col min="2" max="2" width="4" style="194" bestFit="1" customWidth="1"/>
    <col min="3" max="3" width="45.44140625" style="194" bestFit="1" customWidth="1"/>
    <col min="4" max="4" width="99.33203125" style="194" bestFit="1" customWidth="1"/>
    <col min="5" max="5" width="20.6640625" style="194" bestFit="1" customWidth="1"/>
    <col min="6" max="6" width="19" style="194" bestFit="1" customWidth="1"/>
    <col min="7" max="7" width="9" style="194" bestFit="1" customWidth="1"/>
    <col min="8" max="8" width="12.33203125" style="194" customWidth="1"/>
    <col min="9" max="9" width="12.33203125" style="195" bestFit="1" customWidth="1"/>
    <col min="10" max="16384" width="8.88671875" style="194"/>
  </cols>
  <sheetData>
    <row r="1" spans="2:9" ht="18" thickBot="1" x14ac:dyDescent="0.35">
      <c r="B1" s="193" t="s">
        <v>190</v>
      </c>
    </row>
    <row r="2" spans="2:9" s="200" customFormat="1" ht="25.2" customHeight="1" thickBot="1" x14ac:dyDescent="0.35">
      <c r="B2" s="196" t="s">
        <v>191</v>
      </c>
      <c r="C2" s="197" t="s">
        <v>192</v>
      </c>
      <c r="D2" s="197" t="s">
        <v>193</v>
      </c>
      <c r="E2" s="197" t="s">
        <v>194</v>
      </c>
      <c r="F2" s="197" t="s">
        <v>195</v>
      </c>
      <c r="G2" s="198" t="s">
        <v>196</v>
      </c>
      <c r="H2" s="197" t="s">
        <v>197</v>
      </c>
      <c r="I2" s="199" t="s">
        <v>198</v>
      </c>
    </row>
    <row r="3" spans="2:9" x14ac:dyDescent="0.25">
      <c r="B3" s="201">
        <v>1</v>
      </c>
      <c r="C3" s="202" t="s">
        <v>199</v>
      </c>
      <c r="D3" s="202" t="s">
        <v>200</v>
      </c>
      <c r="E3" s="202" t="s">
        <v>201</v>
      </c>
      <c r="F3" s="203" t="s">
        <v>202</v>
      </c>
      <c r="G3" s="204"/>
      <c r="H3" s="205"/>
      <c r="I3" s="206"/>
    </row>
    <row r="4" spans="2:9" x14ac:dyDescent="0.25">
      <c r="B4" s="207">
        <f>B3+1</f>
        <v>2</v>
      </c>
      <c r="C4" s="208" t="s">
        <v>203</v>
      </c>
      <c r="D4" s="208" t="s">
        <v>204</v>
      </c>
      <c r="E4" s="208" t="s">
        <v>205</v>
      </c>
      <c r="F4" s="209" t="s">
        <v>202</v>
      </c>
      <c r="G4" s="210"/>
      <c r="H4" s="211"/>
      <c r="I4" s="212"/>
    </row>
    <row r="5" spans="2:9" x14ac:dyDescent="0.25">
      <c r="B5" s="207">
        <f t="shared" ref="B5:B35" si="0">B4+1</f>
        <v>3</v>
      </c>
      <c r="C5" s="208" t="s">
        <v>206</v>
      </c>
      <c r="D5" s="208" t="s">
        <v>207</v>
      </c>
      <c r="E5" s="208" t="s">
        <v>208</v>
      </c>
      <c r="F5" s="209" t="s">
        <v>202</v>
      </c>
      <c r="G5" s="210"/>
      <c r="H5" s="211"/>
      <c r="I5" s="212"/>
    </row>
    <row r="6" spans="2:9" x14ac:dyDescent="0.25">
      <c r="B6" s="207">
        <f t="shared" si="0"/>
        <v>4</v>
      </c>
      <c r="C6" s="208" t="s">
        <v>209</v>
      </c>
      <c r="D6" s="208" t="s">
        <v>210</v>
      </c>
      <c r="E6" s="213" t="s">
        <v>202</v>
      </c>
      <c r="F6" s="214" t="s">
        <v>211</v>
      </c>
      <c r="G6" s="215" t="s">
        <v>212</v>
      </c>
      <c r="H6" s="214"/>
      <c r="I6" s="212">
        <v>174957</v>
      </c>
    </row>
    <row r="7" spans="2:9" x14ac:dyDescent="0.25">
      <c r="B7" s="207">
        <f t="shared" si="0"/>
        <v>5</v>
      </c>
      <c r="C7" s="208" t="s">
        <v>213</v>
      </c>
      <c r="D7" s="208" t="s">
        <v>214</v>
      </c>
      <c r="E7" s="213" t="s">
        <v>202</v>
      </c>
      <c r="F7" s="214" t="s">
        <v>215</v>
      </c>
      <c r="G7" s="215" t="s">
        <v>212</v>
      </c>
      <c r="H7" s="214"/>
      <c r="I7" s="212">
        <v>139546</v>
      </c>
    </row>
    <row r="8" spans="2:9" x14ac:dyDescent="0.25">
      <c r="B8" s="207">
        <f t="shared" si="0"/>
        <v>6</v>
      </c>
      <c r="C8" s="208" t="s">
        <v>216</v>
      </c>
      <c r="D8" s="216" t="s">
        <v>217</v>
      </c>
      <c r="E8" s="213" t="s">
        <v>202</v>
      </c>
      <c r="F8" s="214" t="s">
        <v>218</v>
      </c>
      <c r="G8" s="215" t="s">
        <v>212</v>
      </c>
      <c r="H8" s="214"/>
      <c r="I8" s="212">
        <v>150375</v>
      </c>
    </row>
    <row r="9" spans="2:9" x14ac:dyDescent="0.25">
      <c r="B9" s="207">
        <f t="shared" si="0"/>
        <v>7</v>
      </c>
      <c r="C9" s="208" t="s">
        <v>219</v>
      </c>
      <c r="D9" s="208" t="s">
        <v>220</v>
      </c>
      <c r="E9" s="213" t="s">
        <v>221</v>
      </c>
      <c r="F9" s="217" t="s">
        <v>222</v>
      </c>
      <c r="G9" s="215" t="s">
        <v>212</v>
      </c>
      <c r="H9" s="211"/>
      <c r="I9" s="212">
        <v>153000</v>
      </c>
    </row>
    <row r="10" spans="2:9" x14ac:dyDescent="0.25">
      <c r="B10" s="207">
        <f t="shared" si="0"/>
        <v>8</v>
      </c>
      <c r="C10" s="208" t="s">
        <v>223</v>
      </c>
      <c r="D10" s="208" t="s">
        <v>224</v>
      </c>
      <c r="E10" s="213" t="s">
        <v>225</v>
      </c>
      <c r="F10" s="214" t="s">
        <v>226</v>
      </c>
      <c r="G10" s="215" t="s">
        <v>212</v>
      </c>
      <c r="H10" s="211"/>
      <c r="I10" s="212">
        <v>356810</v>
      </c>
    </row>
    <row r="11" spans="2:9" x14ac:dyDescent="0.25">
      <c r="B11" s="207">
        <f t="shared" si="0"/>
        <v>9</v>
      </c>
      <c r="C11" s="208" t="s">
        <v>227</v>
      </c>
      <c r="D11" s="208" t="s">
        <v>228</v>
      </c>
      <c r="E11" s="213" t="s">
        <v>229</v>
      </c>
      <c r="F11" s="214" t="s">
        <v>230</v>
      </c>
      <c r="G11" s="215" t="s">
        <v>212</v>
      </c>
      <c r="H11" s="211"/>
      <c r="I11" s="212">
        <v>253106</v>
      </c>
    </row>
    <row r="12" spans="2:9" x14ac:dyDescent="0.25">
      <c r="B12" s="207">
        <f t="shared" si="0"/>
        <v>10</v>
      </c>
      <c r="C12" s="208" t="s">
        <v>231</v>
      </c>
      <c r="D12" s="208" t="s">
        <v>228</v>
      </c>
      <c r="E12" s="213" t="s">
        <v>232</v>
      </c>
      <c r="F12" s="214" t="s">
        <v>233</v>
      </c>
      <c r="G12" s="215" t="s">
        <v>212</v>
      </c>
      <c r="H12" s="211"/>
      <c r="I12" s="212">
        <v>252804</v>
      </c>
    </row>
    <row r="13" spans="2:9" x14ac:dyDescent="0.25">
      <c r="B13" s="207">
        <f t="shared" si="0"/>
        <v>11</v>
      </c>
      <c r="C13" s="208" t="s">
        <v>234</v>
      </c>
      <c r="D13" s="208" t="s">
        <v>235</v>
      </c>
      <c r="E13" s="218" t="s">
        <v>236</v>
      </c>
      <c r="F13" s="214" t="s">
        <v>237</v>
      </c>
      <c r="G13" s="215" t="s">
        <v>212</v>
      </c>
      <c r="H13" s="211"/>
      <c r="I13" s="212">
        <v>100000</v>
      </c>
    </row>
    <row r="14" spans="2:9" x14ac:dyDescent="0.25">
      <c r="B14" s="207">
        <f t="shared" si="0"/>
        <v>12</v>
      </c>
      <c r="C14" s="208" t="s">
        <v>238</v>
      </c>
      <c r="D14" s="208" t="s">
        <v>235</v>
      </c>
      <c r="E14" s="218" t="s">
        <v>239</v>
      </c>
      <c r="F14" s="214" t="s">
        <v>240</v>
      </c>
      <c r="G14" s="215" t="s">
        <v>212</v>
      </c>
      <c r="H14" s="211"/>
      <c r="I14" s="212">
        <v>30000</v>
      </c>
    </row>
    <row r="15" spans="2:9" x14ac:dyDescent="0.25">
      <c r="B15" s="207">
        <f t="shared" si="0"/>
        <v>13</v>
      </c>
      <c r="C15" s="208" t="s">
        <v>241</v>
      </c>
      <c r="D15" s="208" t="s">
        <v>235</v>
      </c>
      <c r="E15" s="218" t="s">
        <v>242</v>
      </c>
      <c r="F15" s="214" t="s">
        <v>243</v>
      </c>
      <c r="G15" s="215" t="s">
        <v>212</v>
      </c>
      <c r="H15" s="211"/>
      <c r="I15" s="212">
        <v>130000</v>
      </c>
    </row>
    <row r="16" spans="2:9" x14ac:dyDescent="0.25">
      <c r="B16" s="207">
        <f t="shared" si="0"/>
        <v>14</v>
      </c>
      <c r="C16" s="208" t="s">
        <v>244</v>
      </c>
      <c r="D16" s="208" t="s">
        <v>235</v>
      </c>
      <c r="E16" s="218" t="s">
        <v>245</v>
      </c>
      <c r="F16" s="214" t="s">
        <v>246</v>
      </c>
      <c r="G16" s="215" t="s">
        <v>212</v>
      </c>
      <c r="H16" s="211"/>
      <c r="I16" s="212">
        <v>260000</v>
      </c>
    </row>
    <row r="17" spans="2:9" x14ac:dyDescent="0.25">
      <c r="B17" s="207">
        <f t="shared" si="0"/>
        <v>15</v>
      </c>
      <c r="C17" s="208" t="s">
        <v>247</v>
      </c>
      <c r="D17" s="208" t="s">
        <v>235</v>
      </c>
      <c r="E17" s="218" t="s">
        <v>248</v>
      </c>
      <c r="F17" s="214" t="s">
        <v>249</v>
      </c>
      <c r="G17" s="215" t="s">
        <v>212</v>
      </c>
      <c r="H17" s="211"/>
      <c r="I17" s="212">
        <v>520000</v>
      </c>
    </row>
    <row r="18" spans="2:9" x14ac:dyDescent="0.25">
      <c r="B18" s="207">
        <f t="shared" si="0"/>
        <v>16</v>
      </c>
      <c r="C18" s="208" t="s">
        <v>238</v>
      </c>
      <c r="D18" s="208" t="s">
        <v>250</v>
      </c>
      <c r="E18" s="218" t="s">
        <v>239</v>
      </c>
      <c r="F18" s="214" t="s">
        <v>240</v>
      </c>
      <c r="G18" s="215" t="s">
        <v>212</v>
      </c>
      <c r="H18" s="211"/>
      <c r="I18" s="212">
        <v>156582</v>
      </c>
    </row>
    <row r="19" spans="2:9" x14ac:dyDescent="0.25">
      <c r="B19" s="219">
        <f t="shared" si="0"/>
        <v>17</v>
      </c>
      <c r="C19" s="220" t="s">
        <v>251</v>
      </c>
      <c r="D19" s="220" t="s">
        <v>252</v>
      </c>
      <c r="E19" s="221" t="s">
        <v>253</v>
      </c>
      <c r="F19" s="222" t="s">
        <v>254</v>
      </c>
      <c r="G19" s="223" t="s">
        <v>212</v>
      </c>
      <c r="H19" s="224"/>
      <c r="I19" s="225">
        <v>258185</v>
      </c>
    </row>
    <row r="20" spans="2:9" x14ac:dyDescent="0.25">
      <c r="B20" s="207">
        <f t="shared" si="0"/>
        <v>18</v>
      </c>
      <c r="C20" s="208" t="s">
        <v>255</v>
      </c>
      <c r="D20" s="208" t="s">
        <v>256</v>
      </c>
      <c r="E20" s="218" t="s">
        <v>257</v>
      </c>
      <c r="F20" s="214" t="s">
        <v>258</v>
      </c>
      <c r="G20" s="215" t="s">
        <v>212</v>
      </c>
      <c r="H20" s="211"/>
      <c r="I20" s="212">
        <v>99526</v>
      </c>
    </row>
    <row r="21" spans="2:9" x14ac:dyDescent="0.25">
      <c r="B21" s="207">
        <f t="shared" si="0"/>
        <v>19</v>
      </c>
      <c r="C21" s="208" t="s">
        <v>259</v>
      </c>
      <c r="D21" s="208" t="s">
        <v>252</v>
      </c>
      <c r="E21" s="218" t="s">
        <v>260</v>
      </c>
      <c r="F21" s="214" t="s">
        <v>261</v>
      </c>
      <c r="G21" s="215" t="s">
        <v>212</v>
      </c>
      <c r="H21" s="211"/>
      <c r="I21" s="212">
        <v>79351</v>
      </c>
    </row>
    <row r="22" spans="2:9" x14ac:dyDescent="0.25">
      <c r="B22" s="207">
        <f t="shared" si="0"/>
        <v>20</v>
      </c>
      <c r="C22" s="208" t="s">
        <v>262</v>
      </c>
      <c r="D22" s="208" t="s">
        <v>263</v>
      </c>
      <c r="E22" s="218" t="s">
        <v>202</v>
      </c>
      <c r="F22" s="214" t="s">
        <v>264</v>
      </c>
      <c r="G22" s="215" t="s">
        <v>212</v>
      </c>
      <c r="H22" s="211"/>
      <c r="I22" s="212">
        <v>300000</v>
      </c>
    </row>
    <row r="23" spans="2:9" x14ac:dyDescent="0.25">
      <c r="B23" s="207">
        <f t="shared" si="0"/>
        <v>21</v>
      </c>
      <c r="C23" s="216" t="s">
        <v>265</v>
      </c>
      <c r="D23" s="208" t="s">
        <v>266</v>
      </c>
      <c r="E23" s="218" t="s">
        <v>267</v>
      </c>
      <c r="F23" s="214" t="s">
        <v>268</v>
      </c>
      <c r="G23" s="215" t="s">
        <v>212</v>
      </c>
      <c r="H23" s="211"/>
      <c r="I23" s="212">
        <v>239000</v>
      </c>
    </row>
    <row r="24" spans="2:9" x14ac:dyDescent="0.25">
      <c r="B24" s="207">
        <f t="shared" si="0"/>
        <v>22</v>
      </c>
      <c r="C24" s="208" t="s">
        <v>269</v>
      </c>
      <c r="D24" s="208" t="s">
        <v>270</v>
      </c>
      <c r="E24" s="218" t="s">
        <v>202</v>
      </c>
      <c r="F24" s="226" t="s">
        <v>271</v>
      </c>
      <c r="G24" s="227"/>
      <c r="H24" s="211"/>
      <c r="I24" s="212">
        <v>40000</v>
      </c>
    </row>
    <row r="25" spans="2:9" x14ac:dyDescent="0.25">
      <c r="B25" s="207">
        <f t="shared" si="0"/>
        <v>23</v>
      </c>
      <c r="C25" s="208" t="s">
        <v>272</v>
      </c>
      <c r="D25" s="208" t="s">
        <v>273</v>
      </c>
      <c r="E25" s="218" t="s">
        <v>202</v>
      </c>
      <c r="F25" s="214" t="s">
        <v>274</v>
      </c>
      <c r="G25" s="215" t="s">
        <v>212</v>
      </c>
      <c r="H25" s="211"/>
      <c r="I25" s="212">
        <v>40000</v>
      </c>
    </row>
    <row r="26" spans="2:9" x14ac:dyDescent="0.25">
      <c r="B26" s="207">
        <f t="shared" si="0"/>
        <v>24</v>
      </c>
      <c r="C26" s="208" t="s">
        <v>275</v>
      </c>
      <c r="D26" s="208" t="s">
        <v>276</v>
      </c>
      <c r="E26" s="218" t="s">
        <v>202</v>
      </c>
      <c r="F26" s="228" t="s">
        <v>277</v>
      </c>
      <c r="G26" s="215" t="s">
        <v>212</v>
      </c>
      <c r="H26" s="211"/>
      <c r="I26" s="212">
        <v>40000</v>
      </c>
    </row>
    <row r="27" spans="2:9" x14ac:dyDescent="0.25">
      <c r="B27" s="207">
        <f t="shared" si="0"/>
        <v>25</v>
      </c>
      <c r="C27" s="208" t="s">
        <v>278</v>
      </c>
      <c r="D27" s="208" t="s">
        <v>279</v>
      </c>
      <c r="E27" s="218" t="s">
        <v>202</v>
      </c>
      <c r="F27" s="228" t="s">
        <v>280</v>
      </c>
      <c r="G27" s="215" t="s">
        <v>212</v>
      </c>
      <c r="H27" s="211"/>
      <c r="I27" s="212">
        <v>60000</v>
      </c>
    </row>
    <row r="28" spans="2:9" x14ac:dyDescent="0.25">
      <c r="B28" s="207">
        <f t="shared" si="0"/>
        <v>26</v>
      </c>
      <c r="C28" s="208" t="s">
        <v>281</v>
      </c>
      <c r="D28" s="208" t="s">
        <v>282</v>
      </c>
      <c r="E28" s="218" t="s">
        <v>202</v>
      </c>
      <c r="F28" s="228" t="s">
        <v>283</v>
      </c>
      <c r="G28" s="215" t="s">
        <v>212</v>
      </c>
      <c r="H28" s="211"/>
      <c r="I28" s="212">
        <v>40000</v>
      </c>
    </row>
    <row r="29" spans="2:9" x14ac:dyDescent="0.25">
      <c r="B29" s="207">
        <f t="shared" si="0"/>
        <v>27</v>
      </c>
      <c r="C29" s="208" t="s">
        <v>284</v>
      </c>
      <c r="D29" s="208" t="s">
        <v>285</v>
      </c>
      <c r="E29" s="218" t="s">
        <v>202</v>
      </c>
      <c r="F29" s="228" t="s">
        <v>286</v>
      </c>
      <c r="G29" s="215" t="s">
        <v>212</v>
      </c>
      <c r="H29" s="211"/>
      <c r="I29" s="212">
        <v>40000</v>
      </c>
    </row>
    <row r="30" spans="2:9" x14ac:dyDescent="0.25">
      <c r="B30" s="207">
        <f t="shared" si="0"/>
        <v>28</v>
      </c>
      <c r="C30" s="208" t="s">
        <v>287</v>
      </c>
      <c r="D30" s="208" t="s">
        <v>288</v>
      </c>
      <c r="E30" s="218" t="s">
        <v>202</v>
      </c>
      <c r="F30" s="228" t="s">
        <v>289</v>
      </c>
      <c r="G30" s="215" t="s">
        <v>212</v>
      </c>
      <c r="H30" s="211"/>
      <c r="I30" s="212">
        <v>60000</v>
      </c>
    </row>
    <row r="31" spans="2:9" x14ac:dyDescent="0.25">
      <c r="B31" s="207">
        <f t="shared" si="0"/>
        <v>29</v>
      </c>
      <c r="C31" s="208" t="s">
        <v>290</v>
      </c>
      <c r="D31" s="208" t="s">
        <v>270</v>
      </c>
      <c r="E31" s="218" t="s">
        <v>202</v>
      </c>
      <c r="F31" s="228" t="s">
        <v>291</v>
      </c>
      <c r="G31" s="215" t="s">
        <v>212</v>
      </c>
      <c r="H31" s="211"/>
      <c r="I31" s="212">
        <v>40000</v>
      </c>
    </row>
    <row r="32" spans="2:9" x14ac:dyDescent="0.25">
      <c r="B32" s="207">
        <f t="shared" si="0"/>
        <v>30</v>
      </c>
      <c r="C32" s="208" t="s">
        <v>292</v>
      </c>
      <c r="D32" s="208" t="s">
        <v>293</v>
      </c>
      <c r="E32" s="218" t="s">
        <v>202</v>
      </c>
      <c r="F32" s="228" t="s">
        <v>294</v>
      </c>
      <c r="G32" s="215" t="s">
        <v>212</v>
      </c>
      <c r="H32" s="211"/>
      <c r="I32" s="212">
        <v>40000</v>
      </c>
    </row>
    <row r="33" spans="2:9" x14ac:dyDescent="0.25">
      <c r="B33" s="207">
        <f t="shared" si="0"/>
        <v>31</v>
      </c>
      <c r="C33" s="208" t="s">
        <v>295</v>
      </c>
      <c r="D33" s="208" t="s">
        <v>296</v>
      </c>
      <c r="E33" s="218" t="s">
        <v>202</v>
      </c>
      <c r="F33" s="228" t="s">
        <v>297</v>
      </c>
      <c r="G33" s="215" t="s">
        <v>212</v>
      </c>
      <c r="H33" s="211"/>
      <c r="I33" s="212">
        <v>60000</v>
      </c>
    </row>
    <row r="34" spans="2:9" x14ac:dyDescent="0.25">
      <c r="B34" s="207">
        <f t="shared" si="0"/>
        <v>32</v>
      </c>
      <c r="C34" s="208"/>
      <c r="D34" s="208"/>
      <c r="E34" s="218"/>
      <c r="F34" s="209"/>
      <c r="G34" s="210"/>
      <c r="H34" s="211"/>
      <c r="I34" s="212"/>
    </row>
    <row r="35" spans="2:9" ht="14.4" thickBot="1" x14ac:dyDescent="0.3">
      <c r="B35" s="229">
        <f t="shared" si="0"/>
        <v>33</v>
      </c>
      <c r="C35" s="230"/>
      <c r="D35" s="230"/>
      <c r="E35" s="231"/>
      <c r="F35" s="232"/>
      <c r="G35" s="233"/>
      <c r="H35" s="234"/>
      <c r="I35" s="235"/>
    </row>
    <row r="36" spans="2:9" x14ac:dyDescent="0.25">
      <c r="B36" s="236"/>
    </row>
    <row r="37" spans="2:9" x14ac:dyDescent="0.25">
      <c r="B37" s="237" t="s">
        <v>298</v>
      </c>
    </row>
    <row r="38" spans="2:9" x14ac:dyDescent="0.25">
      <c r="B38" s="238" t="s">
        <v>44</v>
      </c>
      <c r="C38" s="194" t="s">
        <v>299</v>
      </c>
    </row>
    <row r="39" spans="2:9" x14ac:dyDescent="0.25">
      <c r="B39" s="238" t="s">
        <v>300</v>
      </c>
      <c r="C39" s="194" t="s">
        <v>301</v>
      </c>
    </row>
    <row r="40" spans="2:9" x14ac:dyDescent="0.25">
      <c r="B40" s="236"/>
    </row>
    <row r="41" spans="2:9" x14ac:dyDescent="0.25">
      <c r="B41" s="236"/>
    </row>
    <row r="42" spans="2:9" x14ac:dyDescent="0.25">
      <c r="B42" s="236"/>
    </row>
    <row r="43" spans="2:9" x14ac:dyDescent="0.25">
      <c r="B43" s="236"/>
    </row>
    <row r="44" spans="2:9" x14ac:dyDescent="0.25">
      <c r="B44" s="236"/>
    </row>
    <row r="45" spans="2:9" x14ac:dyDescent="0.25">
      <c r="B45" s="236"/>
    </row>
    <row r="46" spans="2:9" x14ac:dyDescent="0.25">
      <c r="B46" s="23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 tint="-0.499984740745262"/>
  </sheetPr>
  <dimension ref="A1:XFD161"/>
  <sheetViews>
    <sheetView view="pageBreakPreview" topLeftCell="A63" zoomScale="50" zoomScaleNormal="60" zoomScaleSheetLayoutView="50" workbookViewId="0">
      <selection activeCell="J131" sqref="J131"/>
    </sheetView>
  </sheetViews>
  <sheetFormatPr defaultColWidth="9.109375" defaultRowHeight="15.6" x14ac:dyDescent="0.3"/>
  <cols>
    <col min="1" max="1" width="5.109375" style="24" customWidth="1"/>
    <col min="2" max="2" width="12.109375" style="25" customWidth="1"/>
    <col min="3" max="3" width="23.5546875" style="24" customWidth="1"/>
    <col min="4" max="4" width="107.44140625" style="24" customWidth="1"/>
    <col min="5" max="5" width="15.44140625" style="4" customWidth="1"/>
    <col min="6" max="6" width="8.109375" style="65" customWidth="1"/>
    <col min="7" max="7" width="20" style="4" customWidth="1"/>
    <col min="8" max="8" width="21.88671875" style="4" bestFit="1" customWidth="1"/>
    <col min="9" max="9" width="8.5546875" style="24" customWidth="1"/>
    <col min="10" max="10" width="113.44140625" style="24" customWidth="1"/>
    <col min="11" max="11" width="12.109375" style="24" customWidth="1"/>
    <col min="12" max="12" width="19.88671875" style="4" customWidth="1"/>
    <col min="13" max="13" width="7.88671875" style="24" customWidth="1"/>
    <col min="14" max="14" width="16.88671875" style="4" customWidth="1"/>
    <col min="15" max="15" width="20.5546875" style="6" bestFit="1" customWidth="1"/>
    <col min="16" max="16" width="22.33203125" style="20" customWidth="1"/>
    <col min="17" max="17" width="14.88671875" style="4" bestFit="1" customWidth="1"/>
    <col min="18" max="18" width="13" style="4" bestFit="1" customWidth="1"/>
    <col min="19" max="19" width="14" style="4" bestFit="1" customWidth="1"/>
    <col min="20" max="20" width="16.88671875" style="4" bestFit="1" customWidth="1"/>
    <col min="21" max="22" width="13" style="4" bestFit="1" customWidth="1"/>
    <col min="23" max="23" width="16" style="21" bestFit="1" customWidth="1"/>
    <col min="24" max="24" width="12.109375" style="22" bestFit="1" customWidth="1"/>
    <col min="25" max="16384" width="9.109375" style="22"/>
  </cols>
  <sheetData>
    <row r="1" spans="1:23" x14ac:dyDescent="0.3">
      <c r="A1" s="1"/>
      <c r="B1" s="3"/>
      <c r="C1" s="2"/>
      <c r="D1" s="2"/>
      <c r="F1" s="58"/>
      <c r="I1" s="2"/>
      <c r="J1" s="2"/>
      <c r="K1" s="2"/>
      <c r="L1" s="73"/>
      <c r="M1" s="2"/>
      <c r="N1" s="5"/>
    </row>
    <row r="2" spans="1:23" x14ac:dyDescent="0.3">
      <c r="A2" s="1"/>
      <c r="B2" s="3"/>
      <c r="C2" s="2"/>
      <c r="D2" s="2"/>
      <c r="F2" s="58"/>
      <c r="I2" s="2"/>
      <c r="J2" s="2"/>
      <c r="K2" s="2"/>
      <c r="L2" s="73"/>
      <c r="M2" s="2"/>
      <c r="N2" s="5"/>
    </row>
    <row r="3" spans="1:23" x14ac:dyDescent="0.3">
      <c r="A3" s="58"/>
      <c r="B3" s="3"/>
      <c r="C3" s="2"/>
      <c r="D3" s="2"/>
      <c r="F3" s="58"/>
      <c r="I3" s="2"/>
      <c r="J3" s="2"/>
      <c r="K3" s="2"/>
      <c r="L3" s="73"/>
      <c r="M3" s="2"/>
      <c r="N3" s="5"/>
    </row>
    <row r="4" spans="1:23" x14ac:dyDescent="0.3">
      <c r="A4" s="7"/>
      <c r="B4" s="8"/>
      <c r="C4" s="7"/>
      <c r="D4" s="7"/>
      <c r="E4" s="7"/>
      <c r="F4" s="64"/>
      <c r="G4" s="7"/>
      <c r="H4" s="9"/>
      <c r="I4" s="10"/>
      <c r="J4" s="7"/>
      <c r="K4" s="7"/>
      <c r="L4" s="7"/>
      <c r="M4" s="7"/>
      <c r="N4" s="7"/>
      <c r="O4" s="7"/>
    </row>
    <row r="5" spans="1:23" x14ac:dyDescent="0.3">
      <c r="A5" s="7"/>
      <c r="B5" s="8"/>
      <c r="C5" s="7"/>
      <c r="D5" s="7"/>
      <c r="E5" s="7"/>
      <c r="F5" s="64"/>
      <c r="G5" s="7"/>
      <c r="H5" s="9"/>
      <c r="I5" s="10"/>
      <c r="J5" s="7"/>
      <c r="K5" s="7"/>
      <c r="L5" s="7"/>
      <c r="M5" s="7"/>
      <c r="N5" s="7"/>
      <c r="O5" s="7"/>
    </row>
    <row r="6" spans="1:23" x14ac:dyDescent="0.3">
      <c r="A6" s="7"/>
      <c r="B6" s="8"/>
      <c r="C6" s="7"/>
      <c r="D6" s="7"/>
      <c r="E6" s="7"/>
      <c r="F6" s="64"/>
      <c r="G6" s="7"/>
      <c r="H6" s="9"/>
      <c r="I6" s="10"/>
      <c r="J6" s="7"/>
      <c r="K6" s="7"/>
      <c r="L6" s="7"/>
      <c r="M6" s="7"/>
      <c r="N6" s="7"/>
      <c r="O6" s="7"/>
    </row>
    <row r="7" spans="1:23" x14ac:dyDescent="0.3">
      <c r="A7" s="7"/>
      <c r="B7" s="8"/>
      <c r="C7" s="7"/>
      <c r="D7" s="7"/>
      <c r="E7" s="7"/>
      <c r="F7" s="64"/>
      <c r="G7" s="7"/>
      <c r="H7" s="9"/>
      <c r="I7" s="10"/>
      <c r="J7" s="7"/>
      <c r="K7" s="7"/>
      <c r="L7" s="7"/>
      <c r="M7" s="7"/>
      <c r="N7" s="7"/>
      <c r="O7" s="7"/>
    </row>
    <row r="8" spans="1:23" s="30" customFormat="1" ht="18" x14ac:dyDescent="0.35">
      <c r="A8" s="297" t="s">
        <v>119</v>
      </c>
      <c r="B8" s="297"/>
      <c r="C8" s="297"/>
      <c r="D8" s="297"/>
      <c r="E8" s="297"/>
      <c r="F8" s="297"/>
      <c r="G8" s="297"/>
      <c r="H8" s="297"/>
      <c r="I8" s="26"/>
      <c r="J8" s="297" t="s">
        <v>0</v>
      </c>
      <c r="K8" s="297"/>
      <c r="L8" s="297"/>
      <c r="M8" s="297"/>
      <c r="N8" s="297"/>
      <c r="O8" s="297"/>
      <c r="P8" s="28"/>
      <c r="Q8" s="27"/>
      <c r="R8" s="27"/>
      <c r="S8" s="27"/>
      <c r="T8" s="27"/>
      <c r="U8" s="27"/>
      <c r="V8" s="27"/>
      <c r="W8" s="29"/>
    </row>
    <row r="9" spans="1:23" s="30" customFormat="1" ht="18" x14ac:dyDescent="0.35">
      <c r="A9" s="297"/>
      <c r="B9" s="297"/>
      <c r="C9" s="297"/>
      <c r="D9" s="297"/>
      <c r="E9" s="297"/>
      <c r="F9" s="297"/>
      <c r="G9" s="297"/>
      <c r="H9" s="297"/>
      <c r="I9" s="26"/>
      <c r="J9" s="297"/>
      <c r="K9" s="297"/>
      <c r="L9" s="297"/>
      <c r="M9" s="297"/>
      <c r="N9" s="297"/>
      <c r="O9" s="297"/>
      <c r="P9" s="28"/>
      <c r="Q9" s="27"/>
      <c r="R9" s="27"/>
      <c r="S9" s="27"/>
      <c r="T9" s="27"/>
      <c r="U9" s="27"/>
      <c r="V9" s="27"/>
      <c r="W9" s="29"/>
    </row>
    <row r="10" spans="1:23" ht="16.2" thickBot="1" x14ac:dyDescent="0.35">
      <c r="A10" s="58"/>
      <c r="B10" s="3"/>
      <c r="C10" s="2"/>
      <c r="D10" s="2"/>
      <c r="F10" s="58"/>
      <c r="I10" s="2"/>
      <c r="J10" s="2"/>
      <c r="K10" s="2"/>
      <c r="L10" s="73"/>
      <c r="M10" s="2"/>
      <c r="N10" s="5"/>
    </row>
    <row r="11" spans="1:23" ht="16.5" customHeight="1" thickTop="1" x14ac:dyDescent="0.3">
      <c r="A11" s="298" t="s">
        <v>1</v>
      </c>
      <c r="B11" s="300" t="s">
        <v>2</v>
      </c>
      <c r="C11" s="302" t="s">
        <v>3</v>
      </c>
      <c r="D11" s="303"/>
      <c r="E11" s="303"/>
      <c r="F11" s="304"/>
      <c r="G11" s="305" t="s">
        <v>4</v>
      </c>
      <c r="H11" s="306"/>
      <c r="I11" s="307" t="s">
        <v>5</v>
      </c>
      <c r="J11" s="298" t="s">
        <v>6</v>
      </c>
      <c r="K11" s="300" t="s">
        <v>2</v>
      </c>
      <c r="L11" s="309" t="s">
        <v>7</v>
      </c>
      <c r="M11" s="311" t="s">
        <v>8</v>
      </c>
      <c r="N11" s="309" t="s">
        <v>4</v>
      </c>
      <c r="O11" s="313" t="s">
        <v>9</v>
      </c>
      <c r="P11" s="315"/>
      <c r="Q11" s="315"/>
      <c r="R11" s="315"/>
      <c r="S11" s="315"/>
      <c r="T11" s="315"/>
      <c r="U11" s="315"/>
      <c r="V11" s="315"/>
      <c r="W11" s="315"/>
    </row>
    <row r="12" spans="1:23" ht="16.2" thickBot="1" x14ac:dyDescent="0.35">
      <c r="A12" s="299"/>
      <c r="B12" s="301"/>
      <c r="C12" s="67" t="s">
        <v>10</v>
      </c>
      <c r="D12" s="67" t="s">
        <v>11</v>
      </c>
      <c r="E12" s="68" t="s">
        <v>12</v>
      </c>
      <c r="F12" s="67" t="s">
        <v>8</v>
      </c>
      <c r="G12" s="68" t="s">
        <v>13</v>
      </c>
      <c r="H12" s="69" t="s">
        <v>12</v>
      </c>
      <c r="I12" s="308"/>
      <c r="J12" s="299"/>
      <c r="K12" s="301"/>
      <c r="L12" s="310"/>
      <c r="M12" s="312"/>
      <c r="N12" s="310"/>
      <c r="O12" s="314"/>
      <c r="P12" s="315"/>
      <c r="Q12" s="315"/>
      <c r="R12" s="315"/>
      <c r="S12" s="315"/>
      <c r="T12" s="315"/>
      <c r="U12" s="315"/>
      <c r="V12" s="315"/>
      <c r="W12" s="315"/>
    </row>
    <row r="13" spans="1:23" ht="16.2" thickTop="1" x14ac:dyDescent="0.3">
      <c r="A13" s="39"/>
      <c r="B13" s="41"/>
      <c r="C13" s="40"/>
      <c r="D13" s="40"/>
      <c r="E13" s="11"/>
      <c r="F13" s="40"/>
      <c r="G13" s="11"/>
      <c r="H13" s="12"/>
      <c r="I13" s="316" t="s">
        <v>14</v>
      </c>
      <c r="J13" s="317"/>
      <c r="K13" s="317"/>
      <c r="L13" s="317"/>
      <c r="M13" s="317"/>
      <c r="N13" s="317"/>
      <c r="O13" s="318"/>
      <c r="P13" s="31"/>
      <c r="Q13" s="32"/>
      <c r="R13" s="33"/>
      <c r="S13" s="33"/>
      <c r="T13" s="33"/>
      <c r="U13" s="33"/>
      <c r="V13" s="33"/>
      <c r="W13" s="34"/>
    </row>
    <row r="14" spans="1:23" s="30" customFormat="1" ht="18" x14ac:dyDescent="0.35">
      <c r="A14" s="106">
        <v>1</v>
      </c>
      <c r="B14" s="107" t="s">
        <v>62</v>
      </c>
      <c r="C14" s="107" t="s">
        <v>63</v>
      </c>
      <c r="D14" s="108" t="s">
        <v>68</v>
      </c>
      <c r="E14" s="109">
        <v>5.0971200000000003</v>
      </c>
      <c r="F14" s="110" t="s">
        <v>56</v>
      </c>
      <c r="G14" s="111">
        <v>31860.083092808327</v>
      </c>
      <c r="H14" s="112">
        <f t="shared" ref="H14:H77" si="0">+E14*G14</f>
        <v>162394.66673401519</v>
      </c>
      <c r="I14" s="113">
        <f t="shared" ref="I14" si="1">A14</f>
        <v>1</v>
      </c>
      <c r="J14" s="108" t="str">
        <f>D14</f>
        <v>Supremo</v>
      </c>
      <c r="K14" s="114" t="str">
        <f>+B14</f>
        <v>Plasma I</v>
      </c>
      <c r="L14" s="115">
        <f t="shared" ref="L14:L45" si="2">SUMIFS($E$14:$E$166,$D$14:$D$166,J14,$B$14:$B$166,K14)</f>
        <v>5.0971200000000003</v>
      </c>
      <c r="M14" s="116" t="str">
        <f t="shared" ref="M14" si="3">+F14</f>
        <v>Ltr</v>
      </c>
      <c r="N14" s="115">
        <f t="shared" ref="N14" si="4">O14/L14</f>
        <v>31860.083092808327</v>
      </c>
      <c r="O14" s="117">
        <f t="shared" ref="O14:O45" si="5">SUMIFS($H$14:$H$166,$D$14:$D$166,J14,$B$14:$B$166,K14)</f>
        <v>162394.66673401519</v>
      </c>
      <c r="P14" s="118">
        <f>H14-O14</f>
        <v>0</v>
      </c>
      <c r="Q14" s="27" t="s">
        <v>320</v>
      </c>
      <c r="R14" s="27"/>
      <c r="S14" s="27"/>
      <c r="T14" s="27"/>
      <c r="U14" s="27"/>
      <c r="V14" s="27"/>
      <c r="W14" s="29"/>
    </row>
    <row r="15" spans="1:23" s="30" customFormat="1" ht="18" x14ac:dyDescent="0.35">
      <c r="A15" s="106">
        <f>A14+1</f>
        <v>2</v>
      </c>
      <c r="B15" s="107" t="s">
        <v>62</v>
      </c>
      <c r="C15" s="107" t="s">
        <v>63</v>
      </c>
      <c r="D15" s="108" t="s">
        <v>69</v>
      </c>
      <c r="E15" s="109">
        <v>318.57000000000005</v>
      </c>
      <c r="F15" s="110" t="s">
        <v>87</v>
      </c>
      <c r="G15" s="111">
        <v>85.56541811885738</v>
      </c>
      <c r="H15" s="112">
        <f t="shared" si="0"/>
        <v>27258.575250124399</v>
      </c>
      <c r="I15" s="113">
        <f t="shared" ref="I15:I78" si="6">A15</f>
        <v>2</v>
      </c>
      <c r="J15" s="108" t="str">
        <f t="shared" ref="J15:J51" si="7">D15</f>
        <v>Trendy</v>
      </c>
      <c r="K15" s="114" t="str">
        <f t="shared" ref="K15:K77" si="8">+B15</f>
        <v>Plasma I</v>
      </c>
      <c r="L15" s="115">
        <f t="shared" si="2"/>
        <v>318.57000000000005</v>
      </c>
      <c r="M15" s="116" t="str">
        <f t="shared" ref="M15:M65" si="9">+F15</f>
        <v>Gr</v>
      </c>
      <c r="N15" s="115">
        <f t="shared" ref="N15:N76" si="10">O15/L15</f>
        <v>85.56541811885738</v>
      </c>
      <c r="O15" s="117">
        <f t="shared" si="5"/>
        <v>27258.575250124399</v>
      </c>
      <c r="P15" s="118">
        <f t="shared" ref="P15:P78" si="11">H15-O15</f>
        <v>0</v>
      </c>
      <c r="Q15" s="27" t="s">
        <v>320</v>
      </c>
      <c r="R15" s="27"/>
      <c r="S15" s="27"/>
      <c r="T15" s="27"/>
      <c r="U15" s="27"/>
      <c r="V15" s="27"/>
      <c r="W15" s="29"/>
    </row>
    <row r="16" spans="1:23" s="30" customFormat="1" ht="18" x14ac:dyDescent="0.35">
      <c r="A16" s="106">
        <f>A15+1</f>
        <v>3</v>
      </c>
      <c r="B16" s="107" t="s">
        <v>62</v>
      </c>
      <c r="C16" s="107" t="s">
        <v>63</v>
      </c>
      <c r="D16" s="108" t="s">
        <v>91</v>
      </c>
      <c r="E16" s="109">
        <v>3.3980800000000007</v>
      </c>
      <c r="F16" s="110" t="s">
        <v>56</v>
      </c>
      <c r="G16" s="111">
        <v>34019.210843020483</v>
      </c>
      <c r="H16" s="112">
        <f t="shared" si="0"/>
        <v>115599.99998145107</v>
      </c>
      <c r="I16" s="113">
        <f t="shared" si="6"/>
        <v>3</v>
      </c>
      <c r="J16" s="108" t="str">
        <f t="shared" si="7"/>
        <v>Weed Solution</v>
      </c>
      <c r="K16" s="114" t="str">
        <f t="shared" si="8"/>
        <v>Plasma I</v>
      </c>
      <c r="L16" s="115">
        <f t="shared" si="2"/>
        <v>3.3980800000000007</v>
      </c>
      <c r="M16" s="116" t="str">
        <f t="shared" si="9"/>
        <v>Ltr</v>
      </c>
      <c r="N16" s="115">
        <f t="shared" si="10"/>
        <v>34019.210843020483</v>
      </c>
      <c r="O16" s="117">
        <f t="shared" si="5"/>
        <v>115599.99998145107</v>
      </c>
      <c r="P16" s="118">
        <f t="shared" si="11"/>
        <v>0</v>
      </c>
      <c r="Q16" s="27" t="s">
        <v>320</v>
      </c>
      <c r="R16" s="27"/>
      <c r="S16" s="27"/>
      <c r="T16" s="27"/>
      <c r="U16" s="27"/>
      <c r="V16" s="27"/>
      <c r="W16" s="29"/>
    </row>
    <row r="17" spans="1:23 16384:16384" s="30" customFormat="1" ht="18" x14ac:dyDescent="0.35">
      <c r="A17" s="106">
        <f>A16+1</f>
        <v>4</v>
      </c>
      <c r="B17" s="107" t="s">
        <v>62</v>
      </c>
      <c r="C17" s="107" t="s">
        <v>63</v>
      </c>
      <c r="D17" s="176" t="s">
        <v>85</v>
      </c>
      <c r="E17" s="109">
        <v>7.0549999999999997</v>
      </c>
      <c r="F17" s="110" t="s">
        <v>56</v>
      </c>
      <c r="G17" s="111">
        <v>28708.436920991557</v>
      </c>
      <c r="H17" s="112">
        <f t="shared" si="0"/>
        <v>202538.02247759543</v>
      </c>
      <c r="I17" s="113">
        <f t="shared" si="6"/>
        <v>4</v>
      </c>
      <c r="J17" s="108" t="str">
        <f t="shared" si="7"/>
        <v>Supretox</v>
      </c>
      <c r="K17" s="114" t="str">
        <f t="shared" si="8"/>
        <v>Plasma I</v>
      </c>
      <c r="L17" s="115">
        <f t="shared" si="2"/>
        <v>7.0549999999999997</v>
      </c>
      <c r="M17" s="116" t="str">
        <f t="shared" si="9"/>
        <v>Ltr</v>
      </c>
      <c r="N17" s="115">
        <f t="shared" si="10"/>
        <v>28708.436920991557</v>
      </c>
      <c r="O17" s="117">
        <f t="shared" si="5"/>
        <v>202538.02247759543</v>
      </c>
      <c r="P17" s="118">
        <f t="shared" si="11"/>
        <v>0</v>
      </c>
      <c r="Q17" s="27" t="s">
        <v>320</v>
      </c>
      <c r="R17" s="27"/>
      <c r="S17" s="27"/>
      <c r="T17" s="27"/>
      <c r="U17" s="27"/>
      <c r="V17" s="27"/>
      <c r="W17" s="29"/>
    </row>
    <row r="18" spans="1:23 16384:16384" s="30" customFormat="1" ht="18" x14ac:dyDescent="0.35">
      <c r="A18" s="106">
        <f t="shared" ref="A18:A24" si="12">A17+1</f>
        <v>5</v>
      </c>
      <c r="B18" s="107" t="s">
        <v>62</v>
      </c>
      <c r="C18" s="107" t="s">
        <v>63</v>
      </c>
      <c r="D18" s="176" t="s">
        <v>83</v>
      </c>
      <c r="E18" s="109">
        <v>2257.6000000000004</v>
      </c>
      <c r="F18" s="110" t="s">
        <v>84</v>
      </c>
      <c r="G18" s="111">
        <v>124.13863827364807</v>
      </c>
      <c r="H18" s="112">
        <f t="shared" si="0"/>
        <v>280255.38976658793</v>
      </c>
      <c r="I18" s="113">
        <f t="shared" si="6"/>
        <v>5</v>
      </c>
      <c r="J18" s="108" t="str">
        <f t="shared" si="7"/>
        <v>Triester</v>
      </c>
      <c r="K18" s="114" t="str">
        <f t="shared" si="8"/>
        <v>Plasma I</v>
      </c>
      <c r="L18" s="115">
        <f t="shared" si="2"/>
        <v>2257.6000000000004</v>
      </c>
      <c r="M18" s="116" t="str">
        <f t="shared" si="9"/>
        <v>Cc</v>
      </c>
      <c r="N18" s="115">
        <f t="shared" si="10"/>
        <v>124.13863827364807</v>
      </c>
      <c r="O18" s="117">
        <f t="shared" si="5"/>
        <v>280255.38976658793</v>
      </c>
      <c r="P18" s="118">
        <f t="shared" si="11"/>
        <v>0</v>
      </c>
      <c r="Q18" s="27" t="s">
        <v>320</v>
      </c>
      <c r="R18" s="27"/>
      <c r="S18" s="27"/>
      <c r="T18" s="27"/>
      <c r="U18" s="27"/>
      <c r="V18" s="27"/>
      <c r="W18" s="29"/>
    </row>
    <row r="19" spans="1:23 16384:16384" s="30" customFormat="1" ht="18" x14ac:dyDescent="0.35">
      <c r="A19" s="106">
        <f t="shared" si="12"/>
        <v>6</v>
      </c>
      <c r="B19" s="107" t="s">
        <v>62</v>
      </c>
      <c r="C19" s="107" t="s">
        <v>63</v>
      </c>
      <c r="D19" s="176" t="s">
        <v>114</v>
      </c>
      <c r="E19" s="109">
        <v>1</v>
      </c>
      <c r="F19" s="110" t="s">
        <v>115</v>
      </c>
      <c r="G19" s="111">
        <v>2000000</v>
      </c>
      <c r="H19" s="112">
        <f t="shared" si="0"/>
        <v>2000000</v>
      </c>
      <c r="I19" s="113">
        <f t="shared" si="6"/>
        <v>6</v>
      </c>
      <c r="J19" s="108" t="str">
        <f t="shared" si="7"/>
        <v>Batu Bigros</v>
      </c>
      <c r="K19" s="114" t="str">
        <f t="shared" si="8"/>
        <v>Plasma I</v>
      </c>
      <c r="L19" s="115">
        <f t="shared" si="2"/>
        <v>1</v>
      </c>
      <c r="M19" s="116" t="str">
        <f t="shared" si="9"/>
        <v>Rit</v>
      </c>
      <c r="N19" s="115">
        <f t="shared" si="10"/>
        <v>2000000</v>
      </c>
      <c r="O19" s="117">
        <f t="shared" si="5"/>
        <v>2000000</v>
      </c>
      <c r="P19" s="118">
        <f t="shared" si="11"/>
        <v>0</v>
      </c>
      <c r="Q19" s="27" t="s">
        <v>320</v>
      </c>
      <c r="R19" s="27"/>
      <c r="S19" s="27"/>
      <c r="T19" s="27"/>
      <c r="U19" s="27"/>
      <c r="V19" s="27"/>
      <c r="W19" s="29"/>
    </row>
    <row r="20" spans="1:23 16384:16384" s="30" customFormat="1" ht="18" x14ac:dyDescent="0.35">
      <c r="A20" s="106">
        <f t="shared" si="12"/>
        <v>7</v>
      </c>
      <c r="B20" s="107" t="s">
        <v>62</v>
      </c>
      <c r="C20" s="107" t="s">
        <v>63</v>
      </c>
      <c r="D20" s="108" t="s">
        <v>120</v>
      </c>
      <c r="E20" s="189">
        <v>5.21E-2</v>
      </c>
      <c r="F20" s="157" t="s">
        <v>113</v>
      </c>
      <c r="G20" s="190">
        <v>6960000</v>
      </c>
      <c r="H20" s="112">
        <f>+E20*G20</f>
        <v>362616</v>
      </c>
      <c r="I20" s="113">
        <f t="shared" si="6"/>
        <v>7</v>
      </c>
      <c r="J20" s="108" t="str">
        <f t="shared" si="7"/>
        <v>POMPA TRANSFER BBM FLOWMETER DIGITAL SOLAR AC 220V</v>
      </c>
      <c r="K20" s="114" t="str">
        <f t="shared" si="8"/>
        <v>Plasma I</v>
      </c>
      <c r="L20" s="115">
        <f t="shared" si="2"/>
        <v>5.21E-2</v>
      </c>
      <c r="M20" s="116" t="str">
        <f t="shared" si="9"/>
        <v>UNIT</v>
      </c>
      <c r="N20" s="115">
        <f t="shared" si="10"/>
        <v>6960000</v>
      </c>
      <c r="O20" s="117">
        <f t="shared" si="5"/>
        <v>362616</v>
      </c>
      <c r="P20" s="118">
        <f t="shared" si="11"/>
        <v>0</v>
      </c>
      <c r="Q20" s="27" t="s">
        <v>320</v>
      </c>
      <c r="R20" s="27"/>
      <c r="S20" s="27"/>
      <c r="T20" s="27"/>
      <c r="U20" s="27"/>
      <c r="V20" s="27"/>
      <c r="W20" s="29"/>
      <c r="XFD20" s="30">
        <f>SUM(A20:XFC20)</f>
        <v>14645246.1042</v>
      </c>
    </row>
    <row r="21" spans="1:23 16384:16384" s="30" customFormat="1" ht="18" x14ac:dyDescent="0.35">
      <c r="A21" s="106">
        <f t="shared" si="12"/>
        <v>8</v>
      </c>
      <c r="B21" s="107" t="s">
        <v>62</v>
      </c>
      <c r="C21" s="107" t="s">
        <v>63</v>
      </c>
      <c r="D21" s="108" t="s">
        <v>187</v>
      </c>
      <c r="E21" s="189">
        <v>0.15629999999999999</v>
      </c>
      <c r="F21" s="157" t="s">
        <v>113</v>
      </c>
      <c r="G21" s="190">
        <v>350000</v>
      </c>
      <c r="H21" s="112">
        <f t="shared" si="0"/>
        <v>54705</v>
      </c>
      <c r="I21" s="113">
        <f t="shared" si="6"/>
        <v>8</v>
      </c>
      <c r="J21" s="108" t="str">
        <f t="shared" si="7"/>
        <v>KIPAS ANGIN BERDIRI</v>
      </c>
      <c r="K21" s="114" t="str">
        <f t="shared" si="8"/>
        <v>Plasma I</v>
      </c>
      <c r="L21" s="115">
        <f t="shared" si="2"/>
        <v>0.15629999999999999</v>
      </c>
      <c r="M21" s="116" t="str">
        <f t="shared" si="9"/>
        <v>UNIT</v>
      </c>
      <c r="N21" s="115">
        <f t="shared" si="10"/>
        <v>350000</v>
      </c>
      <c r="O21" s="117">
        <f t="shared" si="5"/>
        <v>54705</v>
      </c>
      <c r="P21" s="118">
        <f t="shared" si="11"/>
        <v>0</v>
      </c>
      <c r="Q21" s="27" t="s">
        <v>320</v>
      </c>
      <c r="R21" s="27"/>
      <c r="S21" s="27"/>
      <c r="T21" s="27"/>
      <c r="U21" s="27"/>
      <c r="V21" s="27"/>
      <c r="W21" s="29"/>
    </row>
    <row r="22" spans="1:23 16384:16384" s="30" customFormat="1" ht="18" x14ac:dyDescent="0.35">
      <c r="A22" s="106">
        <f t="shared" si="12"/>
        <v>9</v>
      </c>
      <c r="B22" s="107" t="s">
        <v>62</v>
      </c>
      <c r="C22" s="107" t="s">
        <v>63</v>
      </c>
      <c r="D22" s="108" t="s">
        <v>188</v>
      </c>
      <c r="E22" s="189">
        <v>5.21E-2</v>
      </c>
      <c r="F22" s="157" t="s">
        <v>113</v>
      </c>
      <c r="G22" s="190">
        <v>1650000</v>
      </c>
      <c r="H22" s="112">
        <f t="shared" si="0"/>
        <v>85965</v>
      </c>
      <c r="I22" s="113">
        <f t="shared" si="6"/>
        <v>9</v>
      </c>
      <c r="J22" s="108" t="str">
        <f t="shared" si="7"/>
        <v>TV LED 24" SHARF</v>
      </c>
      <c r="K22" s="114" t="str">
        <f t="shared" si="8"/>
        <v>Plasma I</v>
      </c>
      <c r="L22" s="115">
        <f t="shared" si="2"/>
        <v>5.21E-2</v>
      </c>
      <c r="M22" s="116" t="str">
        <f t="shared" si="9"/>
        <v>UNIT</v>
      </c>
      <c r="N22" s="115">
        <f t="shared" si="10"/>
        <v>1650000</v>
      </c>
      <c r="O22" s="117">
        <f t="shared" si="5"/>
        <v>85965</v>
      </c>
      <c r="P22" s="118">
        <f t="shared" si="11"/>
        <v>0</v>
      </c>
      <c r="Q22" s="27" t="s">
        <v>320</v>
      </c>
      <c r="R22" s="27"/>
      <c r="S22" s="27"/>
      <c r="T22" s="27"/>
      <c r="U22" s="27"/>
      <c r="V22" s="27"/>
      <c r="W22" s="29"/>
    </row>
    <row r="23" spans="1:23 16384:16384" s="30" customFormat="1" ht="18" x14ac:dyDescent="0.35">
      <c r="A23" s="106">
        <f t="shared" si="12"/>
        <v>10</v>
      </c>
      <c r="B23" s="107" t="s">
        <v>62</v>
      </c>
      <c r="C23" s="107" t="s">
        <v>63</v>
      </c>
      <c r="D23" s="108" t="s">
        <v>189</v>
      </c>
      <c r="E23" s="189">
        <v>5.21E-2</v>
      </c>
      <c r="F23" s="110" t="s">
        <v>113</v>
      </c>
      <c r="G23" s="190">
        <v>850000</v>
      </c>
      <c r="H23" s="112">
        <f t="shared" si="0"/>
        <v>44285</v>
      </c>
      <c r="I23" s="113">
        <f t="shared" si="6"/>
        <v>10</v>
      </c>
      <c r="J23" s="108" t="str">
        <f t="shared" si="7"/>
        <v>K. VISION SET PAYUNG</v>
      </c>
      <c r="K23" s="114" t="str">
        <f t="shared" si="8"/>
        <v>Plasma I</v>
      </c>
      <c r="L23" s="115">
        <f t="shared" si="2"/>
        <v>5.21E-2</v>
      </c>
      <c r="M23" s="116" t="str">
        <f t="shared" si="9"/>
        <v>UNIT</v>
      </c>
      <c r="N23" s="115">
        <f t="shared" si="10"/>
        <v>850000</v>
      </c>
      <c r="O23" s="117">
        <f t="shared" si="5"/>
        <v>44285</v>
      </c>
      <c r="P23" s="118">
        <f t="shared" si="11"/>
        <v>0</v>
      </c>
      <c r="Q23" s="27" t="s">
        <v>320</v>
      </c>
      <c r="R23" s="27"/>
      <c r="S23" s="27"/>
      <c r="T23" s="27"/>
      <c r="U23" s="27"/>
      <c r="V23" s="27"/>
      <c r="W23" s="29"/>
    </row>
    <row r="24" spans="1:23 16384:16384" s="30" customFormat="1" ht="18" x14ac:dyDescent="0.35">
      <c r="A24" s="106">
        <f t="shared" si="12"/>
        <v>11</v>
      </c>
      <c r="B24" s="107" t="s">
        <v>62</v>
      </c>
      <c r="C24" s="107" t="s">
        <v>63</v>
      </c>
      <c r="D24" s="108" t="s">
        <v>121</v>
      </c>
      <c r="E24" s="189">
        <v>0.1042</v>
      </c>
      <c r="F24" s="110" t="s">
        <v>101</v>
      </c>
      <c r="G24" s="190">
        <v>160000</v>
      </c>
      <c r="H24" s="112">
        <f t="shared" si="0"/>
        <v>16672</v>
      </c>
      <c r="I24" s="113">
        <f t="shared" si="6"/>
        <v>11</v>
      </c>
      <c r="J24" s="108" t="str">
        <f t="shared" si="7"/>
        <v>CHECKING KRANI PANEN</v>
      </c>
      <c r="K24" s="114" t="str">
        <f t="shared" si="8"/>
        <v>Plasma I</v>
      </c>
      <c r="L24" s="115">
        <f t="shared" si="2"/>
        <v>0.1042</v>
      </c>
      <c r="M24" s="116" t="str">
        <f t="shared" si="9"/>
        <v>RIM</v>
      </c>
      <c r="N24" s="115">
        <f t="shared" si="10"/>
        <v>160000</v>
      </c>
      <c r="O24" s="117">
        <f t="shared" si="5"/>
        <v>16672</v>
      </c>
      <c r="P24" s="118">
        <f t="shared" si="11"/>
        <v>0</v>
      </c>
      <c r="Q24" s="27" t="s">
        <v>320</v>
      </c>
      <c r="R24" s="27"/>
      <c r="S24" s="27"/>
      <c r="T24" s="27"/>
      <c r="U24" s="27"/>
      <c r="V24" s="27"/>
      <c r="W24" s="29"/>
    </row>
    <row r="25" spans="1:23 16384:16384" s="30" customFormat="1" ht="18" x14ac:dyDescent="0.35">
      <c r="A25" s="106">
        <f t="shared" ref="A25:A84" si="13">A24+1</f>
        <v>12</v>
      </c>
      <c r="B25" s="107" t="s">
        <v>62</v>
      </c>
      <c r="C25" s="107" t="s">
        <v>63</v>
      </c>
      <c r="D25" s="108" t="s">
        <v>122</v>
      </c>
      <c r="E25" s="189">
        <v>0.15629999999999999</v>
      </c>
      <c r="F25" s="110" t="s">
        <v>101</v>
      </c>
      <c r="G25" s="190">
        <v>160000</v>
      </c>
      <c r="H25" s="112">
        <f t="shared" si="0"/>
        <v>25008</v>
      </c>
      <c r="I25" s="113">
        <f t="shared" si="6"/>
        <v>12</v>
      </c>
      <c r="J25" s="108" t="str">
        <f t="shared" si="7"/>
        <v>PENGANTAR TBS</v>
      </c>
      <c r="K25" s="114" t="str">
        <f t="shared" si="8"/>
        <v>Plasma I</v>
      </c>
      <c r="L25" s="115">
        <f t="shared" si="2"/>
        <v>0.15629999999999999</v>
      </c>
      <c r="M25" s="116" t="str">
        <f t="shared" si="9"/>
        <v>RIM</v>
      </c>
      <c r="N25" s="115">
        <f t="shared" si="10"/>
        <v>160000</v>
      </c>
      <c r="O25" s="117">
        <f t="shared" si="5"/>
        <v>25008</v>
      </c>
      <c r="P25" s="118">
        <f t="shared" si="11"/>
        <v>0</v>
      </c>
      <c r="Q25" s="27" t="s">
        <v>320</v>
      </c>
      <c r="R25" s="27"/>
      <c r="S25" s="27"/>
      <c r="T25" s="27"/>
      <c r="U25" s="27"/>
      <c r="V25" s="27"/>
      <c r="W25" s="29"/>
    </row>
    <row r="26" spans="1:23 16384:16384" s="30" customFormat="1" ht="18" x14ac:dyDescent="0.35">
      <c r="A26" s="106">
        <f t="shared" si="13"/>
        <v>13</v>
      </c>
      <c r="B26" s="107" t="s">
        <v>62</v>
      </c>
      <c r="C26" s="107" t="s">
        <v>63</v>
      </c>
      <c r="D26" s="108" t="s">
        <v>123</v>
      </c>
      <c r="E26" s="189">
        <v>0.26050000000000001</v>
      </c>
      <c r="F26" s="110" t="s">
        <v>101</v>
      </c>
      <c r="G26" s="190">
        <v>160000</v>
      </c>
      <c r="H26" s="112">
        <f t="shared" si="0"/>
        <v>41680</v>
      </c>
      <c r="I26" s="113">
        <f t="shared" si="6"/>
        <v>13</v>
      </c>
      <c r="J26" s="108" t="str">
        <f t="shared" si="7"/>
        <v>DATA KWALITAS TBS</v>
      </c>
      <c r="K26" s="114" t="str">
        <f t="shared" si="8"/>
        <v>Plasma I</v>
      </c>
      <c r="L26" s="115">
        <f t="shared" si="2"/>
        <v>0.26050000000000001</v>
      </c>
      <c r="M26" s="116" t="str">
        <f t="shared" si="9"/>
        <v>RIM</v>
      </c>
      <c r="N26" s="115">
        <f t="shared" si="10"/>
        <v>160000</v>
      </c>
      <c r="O26" s="117">
        <f t="shared" si="5"/>
        <v>41680</v>
      </c>
      <c r="P26" s="118">
        <f t="shared" si="11"/>
        <v>0</v>
      </c>
      <c r="Q26" s="27" t="s">
        <v>320</v>
      </c>
      <c r="R26" s="27"/>
      <c r="S26" s="27"/>
      <c r="T26" s="27"/>
      <c r="U26" s="27"/>
      <c r="V26" s="27"/>
      <c r="W26" s="29"/>
    </row>
    <row r="27" spans="1:23 16384:16384" s="30" customFormat="1" ht="18" x14ac:dyDescent="0.35">
      <c r="A27" s="106">
        <f t="shared" si="13"/>
        <v>14</v>
      </c>
      <c r="B27" s="107" t="s">
        <v>62</v>
      </c>
      <c r="C27" s="107" t="s">
        <v>63</v>
      </c>
      <c r="D27" s="108" t="s">
        <v>124</v>
      </c>
      <c r="E27" s="189">
        <v>0.26050000000000001</v>
      </c>
      <c r="F27" s="110" t="s">
        <v>101</v>
      </c>
      <c r="G27" s="190">
        <v>160000</v>
      </c>
      <c r="H27" s="112">
        <f t="shared" si="0"/>
        <v>41680</v>
      </c>
      <c r="I27" s="113">
        <f t="shared" si="6"/>
        <v>14</v>
      </c>
      <c r="J27" s="108" t="str">
        <f t="shared" si="7"/>
        <v>PERAWATAN</v>
      </c>
      <c r="K27" s="114" t="str">
        <f t="shared" si="8"/>
        <v>Plasma I</v>
      </c>
      <c r="L27" s="115">
        <f t="shared" si="2"/>
        <v>0.26050000000000001</v>
      </c>
      <c r="M27" s="116" t="str">
        <f t="shared" si="9"/>
        <v>RIM</v>
      </c>
      <c r="N27" s="115">
        <f t="shared" si="10"/>
        <v>160000</v>
      </c>
      <c r="O27" s="117">
        <f t="shared" si="5"/>
        <v>41680</v>
      </c>
      <c r="P27" s="118">
        <f t="shared" si="11"/>
        <v>0</v>
      </c>
      <c r="Q27" s="27" t="s">
        <v>320</v>
      </c>
      <c r="R27" s="27"/>
      <c r="S27" s="27"/>
      <c r="T27" s="27"/>
      <c r="U27" s="27"/>
      <c r="V27" s="27"/>
      <c r="W27" s="29"/>
    </row>
    <row r="28" spans="1:23 16384:16384" s="30" customFormat="1" ht="18" x14ac:dyDescent="0.35">
      <c r="A28" s="106">
        <f t="shared" si="13"/>
        <v>15</v>
      </c>
      <c r="B28" s="107" t="s">
        <v>62</v>
      </c>
      <c r="C28" s="107" t="s">
        <v>63</v>
      </c>
      <c r="D28" s="108" t="s">
        <v>125</v>
      </c>
      <c r="E28" s="189">
        <v>0.52100000000000002</v>
      </c>
      <c r="F28" s="110" t="s">
        <v>101</v>
      </c>
      <c r="G28" s="190">
        <v>160000</v>
      </c>
      <c r="H28" s="112">
        <f t="shared" si="0"/>
        <v>83360</v>
      </c>
      <c r="I28" s="113">
        <f t="shared" si="6"/>
        <v>15</v>
      </c>
      <c r="J28" s="108" t="str">
        <f t="shared" si="7"/>
        <v>ANCAK PANEN</v>
      </c>
      <c r="K28" s="114" t="str">
        <f t="shared" si="8"/>
        <v>Plasma I</v>
      </c>
      <c r="L28" s="115">
        <f t="shared" si="2"/>
        <v>0.52100000000000002</v>
      </c>
      <c r="M28" s="116" t="str">
        <f t="shared" si="9"/>
        <v>RIM</v>
      </c>
      <c r="N28" s="115">
        <f t="shared" si="10"/>
        <v>160000</v>
      </c>
      <c r="O28" s="117">
        <f t="shared" si="5"/>
        <v>83360</v>
      </c>
      <c r="P28" s="118">
        <f t="shared" si="11"/>
        <v>0</v>
      </c>
      <c r="Q28" s="27" t="s">
        <v>320</v>
      </c>
      <c r="R28" s="27"/>
      <c r="S28" s="27"/>
      <c r="T28" s="27"/>
      <c r="U28" s="27"/>
      <c r="V28" s="27"/>
      <c r="W28" s="119"/>
    </row>
    <row r="29" spans="1:23 16384:16384" s="30" customFormat="1" ht="18" x14ac:dyDescent="0.35">
      <c r="A29" s="106">
        <f t="shared" si="13"/>
        <v>16</v>
      </c>
      <c r="B29" s="107" t="s">
        <v>62</v>
      </c>
      <c r="C29" s="107" t="s">
        <v>63</v>
      </c>
      <c r="D29" s="108" t="s">
        <v>126</v>
      </c>
      <c r="E29" s="189">
        <v>5.21E-2</v>
      </c>
      <c r="F29" s="110" t="s">
        <v>101</v>
      </c>
      <c r="G29" s="190">
        <v>160000</v>
      </c>
      <c r="H29" s="112">
        <f t="shared" si="0"/>
        <v>8336</v>
      </c>
      <c r="I29" s="113">
        <f t="shared" si="6"/>
        <v>16</v>
      </c>
      <c r="J29" s="108" t="str">
        <f t="shared" si="7"/>
        <v>PENGEMBALIAN BARANG BEKAS</v>
      </c>
      <c r="K29" s="114" t="str">
        <f t="shared" si="8"/>
        <v>Plasma I</v>
      </c>
      <c r="L29" s="115">
        <f t="shared" si="2"/>
        <v>5.21E-2</v>
      </c>
      <c r="M29" s="116" t="str">
        <f t="shared" si="9"/>
        <v>RIM</v>
      </c>
      <c r="N29" s="115">
        <f t="shared" si="10"/>
        <v>160000</v>
      </c>
      <c r="O29" s="117">
        <f t="shared" si="5"/>
        <v>8336</v>
      </c>
      <c r="P29" s="118">
        <f t="shared" si="11"/>
        <v>0</v>
      </c>
      <c r="Q29" s="27" t="s">
        <v>320</v>
      </c>
      <c r="R29" s="27"/>
      <c r="S29" s="27"/>
      <c r="T29" s="27"/>
      <c r="U29" s="27"/>
      <c r="V29" s="27"/>
      <c r="W29" s="119"/>
    </row>
    <row r="30" spans="1:23 16384:16384" s="30" customFormat="1" ht="18" x14ac:dyDescent="0.35">
      <c r="A30" s="106">
        <f t="shared" si="13"/>
        <v>17</v>
      </c>
      <c r="B30" s="107" t="s">
        <v>62</v>
      </c>
      <c r="C30" s="107" t="s">
        <v>63</v>
      </c>
      <c r="D30" s="108" t="s">
        <v>127</v>
      </c>
      <c r="E30" s="189">
        <v>5.21E-2</v>
      </c>
      <c r="F30" s="110" t="s">
        <v>101</v>
      </c>
      <c r="G30" s="190">
        <v>160000</v>
      </c>
      <c r="H30" s="112">
        <f t="shared" si="0"/>
        <v>8336</v>
      </c>
      <c r="I30" s="113">
        <f t="shared" si="6"/>
        <v>17</v>
      </c>
      <c r="J30" s="108" t="str">
        <f t="shared" si="7"/>
        <v>SPB</v>
      </c>
      <c r="K30" s="114" t="str">
        <f t="shared" si="8"/>
        <v>Plasma I</v>
      </c>
      <c r="L30" s="115">
        <f t="shared" si="2"/>
        <v>5.21E-2</v>
      </c>
      <c r="M30" s="116" t="str">
        <f t="shared" si="9"/>
        <v>RIM</v>
      </c>
      <c r="N30" s="115">
        <f t="shared" si="10"/>
        <v>160000</v>
      </c>
      <c r="O30" s="117">
        <f t="shared" si="5"/>
        <v>8336</v>
      </c>
      <c r="P30" s="118">
        <f t="shared" si="11"/>
        <v>0</v>
      </c>
      <c r="Q30" s="27" t="s">
        <v>320</v>
      </c>
      <c r="R30" s="27"/>
      <c r="S30" s="27"/>
      <c r="T30" s="27"/>
      <c r="U30" s="27"/>
      <c r="V30" s="27"/>
      <c r="W30" s="119"/>
    </row>
    <row r="31" spans="1:23 16384:16384" s="30" customFormat="1" ht="18" x14ac:dyDescent="0.35">
      <c r="A31" s="106">
        <f t="shared" si="13"/>
        <v>18</v>
      </c>
      <c r="B31" s="107" t="s">
        <v>62</v>
      </c>
      <c r="C31" s="107" t="s">
        <v>63</v>
      </c>
      <c r="D31" s="108" t="s">
        <v>128</v>
      </c>
      <c r="E31" s="189">
        <v>5.21E-2</v>
      </c>
      <c r="F31" s="110" t="s">
        <v>101</v>
      </c>
      <c r="G31" s="190">
        <v>160000</v>
      </c>
      <c r="H31" s="112">
        <f t="shared" si="0"/>
        <v>8336</v>
      </c>
      <c r="I31" s="113">
        <f t="shared" si="6"/>
        <v>18</v>
      </c>
      <c r="J31" s="108" t="str">
        <f t="shared" si="7"/>
        <v>PASS KELUAR</v>
      </c>
      <c r="K31" s="114" t="str">
        <f t="shared" si="8"/>
        <v>Plasma I</v>
      </c>
      <c r="L31" s="115">
        <f t="shared" si="2"/>
        <v>5.21E-2</v>
      </c>
      <c r="M31" s="116" t="str">
        <f t="shared" si="9"/>
        <v>RIM</v>
      </c>
      <c r="N31" s="115">
        <f t="shared" si="10"/>
        <v>160000</v>
      </c>
      <c r="O31" s="117">
        <f t="shared" si="5"/>
        <v>8336</v>
      </c>
      <c r="P31" s="118">
        <f t="shared" si="11"/>
        <v>0</v>
      </c>
      <c r="Q31" s="27" t="s">
        <v>320</v>
      </c>
      <c r="R31" s="27"/>
      <c r="S31" s="27"/>
      <c r="T31" s="27"/>
      <c r="U31" s="27"/>
      <c r="V31" s="27"/>
      <c r="W31" s="119"/>
    </row>
    <row r="32" spans="1:23 16384:16384" s="30" customFormat="1" ht="18" x14ac:dyDescent="0.35">
      <c r="A32" s="106">
        <f t="shared" si="13"/>
        <v>19</v>
      </c>
      <c r="B32" s="107" t="s">
        <v>62</v>
      </c>
      <c r="C32" s="107" t="s">
        <v>63</v>
      </c>
      <c r="D32" s="108" t="s">
        <v>129</v>
      </c>
      <c r="E32" s="189">
        <v>5.21E-2</v>
      </c>
      <c r="F32" s="110" t="s">
        <v>101</v>
      </c>
      <c r="G32" s="190">
        <v>160000</v>
      </c>
      <c r="H32" s="112">
        <f t="shared" si="0"/>
        <v>8336</v>
      </c>
      <c r="I32" s="113">
        <f t="shared" si="6"/>
        <v>19</v>
      </c>
      <c r="J32" s="108" t="str">
        <f t="shared" si="7"/>
        <v>LAP. PROGRAM LERJA DIVISI</v>
      </c>
      <c r="K32" s="114" t="str">
        <f t="shared" si="8"/>
        <v>Plasma I</v>
      </c>
      <c r="L32" s="115">
        <f t="shared" si="2"/>
        <v>5.21E-2</v>
      </c>
      <c r="M32" s="116" t="str">
        <f t="shared" si="9"/>
        <v>RIM</v>
      </c>
      <c r="N32" s="115">
        <f t="shared" si="10"/>
        <v>160000</v>
      </c>
      <c r="O32" s="117">
        <f t="shared" si="5"/>
        <v>8336</v>
      </c>
      <c r="P32" s="118">
        <f t="shared" si="11"/>
        <v>0</v>
      </c>
      <c r="Q32" s="27" t="s">
        <v>320</v>
      </c>
      <c r="R32" s="27"/>
      <c r="S32" s="27"/>
      <c r="T32" s="27"/>
      <c r="U32" s="27"/>
      <c r="V32" s="27"/>
      <c r="W32" s="119"/>
    </row>
    <row r="33" spans="1:23" s="30" customFormat="1" ht="18" x14ac:dyDescent="0.35">
      <c r="A33" s="106">
        <f t="shared" si="13"/>
        <v>20</v>
      </c>
      <c r="B33" s="107" t="s">
        <v>62</v>
      </c>
      <c r="C33" s="107" t="s">
        <v>63</v>
      </c>
      <c r="D33" s="108" t="s">
        <v>130</v>
      </c>
      <c r="E33" s="189">
        <v>5.21E-2</v>
      </c>
      <c r="F33" s="110" t="s">
        <v>101</v>
      </c>
      <c r="G33" s="190">
        <v>160000</v>
      </c>
      <c r="H33" s="112">
        <f t="shared" si="0"/>
        <v>8336</v>
      </c>
      <c r="I33" s="113">
        <f t="shared" si="6"/>
        <v>20</v>
      </c>
      <c r="J33" s="108" t="str">
        <f t="shared" si="7"/>
        <v>BPBG</v>
      </c>
      <c r="K33" s="114" t="str">
        <f t="shared" si="8"/>
        <v>Plasma I</v>
      </c>
      <c r="L33" s="115">
        <f t="shared" si="2"/>
        <v>5.21E-2</v>
      </c>
      <c r="M33" s="116" t="str">
        <f t="shared" si="9"/>
        <v>RIM</v>
      </c>
      <c r="N33" s="115">
        <f t="shared" si="10"/>
        <v>160000</v>
      </c>
      <c r="O33" s="117">
        <f t="shared" si="5"/>
        <v>8336</v>
      </c>
      <c r="P33" s="118">
        <f t="shared" si="11"/>
        <v>0</v>
      </c>
      <c r="Q33" s="27" t="s">
        <v>320</v>
      </c>
      <c r="R33" s="27"/>
      <c r="S33" s="27"/>
      <c r="T33" s="27"/>
      <c r="U33" s="27"/>
      <c r="V33" s="27"/>
      <c r="W33" s="119"/>
    </row>
    <row r="34" spans="1:23" s="30" customFormat="1" ht="18" x14ac:dyDescent="0.35">
      <c r="A34" s="106">
        <f t="shared" si="13"/>
        <v>21</v>
      </c>
      <c r="B34" s="107" t="s">
        <v>62</v>
      </c>
      <c r="C34" s="107" t="s">
        <v>63</v>
      </c>
      <c r="D34" s="108" t="s">
        <v>131</v>
      </c>
      <c r="E34" s="189">
        <v>0.78149999999999997</v>
      </c>
      <c r="F34" s="110" t="s">
        <v>103</v>
      </c>
      <c r="G34" s="190">
        <v>5000</v>
      </c>
      <c r="H34" s="112">
        <f t="shared" si="0"/>
        <v>3907.5</v>
      </c>
      <c r="I34" s="113">
        <f t="shared" si="6"/>
        <v>21</v>
      </c>
      <c r="J34" s="108" t="str">
        <f t="shared" si="7"/>
        <v>PEN KENKO</v>
      </c>
      <c r="K34" s="114" t="str">
        <f t="shared" si="8"/>
        <v>Plasma I</v>
      </c>
      <c r="L34" s="115">
        <f t="shared" si="2"/>
        <v>1.042</v>
      </c>
      <c r="M34" s="116" t="str">
        <f t="shared" si="9"/>
        <v>PCS</v>
      </c>
      <c r="N34" s="115">
        <f t="shared" si="10"/>
        <v>5000</v>
      </c>
      <c r="O34" s="117">
        <f t="shared" si="5"/>
        <v>5210</v>
      </c>
      <c r="P34" s="118">
        <f t="shared" si="11"/>
        <v>-1302.5</v>
      </c>
      <c r="Q34" s="27" t="s">
        <v>320</v>
      </c>
      <c r="R34" s="27"/>
      <c r="S34" s="27"/>
      <c r="T34" s="27"/>
      <c r="U34" s="27"/>
      <c r="V34" s="27"/>
      <c r="W34" s="119"/>
    </row>
    <row r="35" spans="1:23" s="30" customFormat="1" ht="18" x14ac:dyDescent="0.35">
      <c r="A35" s="106">
        <f t="shared" si="13"/>
        <v>22</v>
      </c>
      <c r="B35" s="107" t="s">
        <v>62</v>
      </c>
      <c r="C35" s="107" t="s">
        <v>63</v>
      </c>
      <c r="D35" s="108" t="s">
        <v>100</v>
      </c>
      <c r="E35" s="189">
        <v>0.4168</v>
      </c>
      <c r="F35" s="110" t="s">
        <v>101</v>
      </c>
      <c r="G35" s="190">
        <v>59000</v>
      </c>
      <c r="H35" s="112">
        <f t="shared" si="0"/>
        <v>24591.200000000001</v>
      </c>
      <c r="I35" s="113">
        <f t="shared" si="6"/>
        <v>22</v>
      </c>
      <c r="J35" s="108" t="str">
        <f t="shared" si="7"/>
        <v>HVS F4 70GR</v>
      </c>
      <c r="K35" s="114" t="str">
        <f t="shared" si="8"/>
        <v>Plasma I</v>
      </c>
      <c r="L35" s="115">
        <f t="shared" si="2"/>
        <v>0.4168</v>
      </c>
      <c r="M35" s="116" t="str">
        <f t="shared" si="9"/>
        <v>RIM</v>
      </c>
      <c r="N35" s="115">
        <f t="shared" si="10"/>
        <v>59000</v>
      </c>
      <c r="O35" s="117">
        <f t="shared" si="5"/>
        <v>24591.200000000001</v>
      </c>
      <c r="P35" s="118">
        <f t="shared" si="11"/>
        <v>0</v>
      </c>
      <c r="Q35" s="27" t="s">
        <v>320</v>
      </c>
      <c r="R35" s="27"/>
      <c r="S35" s="27"/>
      <c r="T35" s="27"/>
      <c r="U35" s="27"/>
      <c r="V35" s="27"/>
      <c r="W35" s="119"/>
    </row>
    <row r="36" spans="1:23" s="30" customFormat="1" ht="18" x14ac:dyDescent="0.35">
      <c r="A36" s="106">
        <f t="shared" si="13"/>
        <v>23</v>
      </c>
      <c r="B36" s="107" t="s">
        <v>62</v>
      </c>
      <c r="C36" s="107" t="s">
        <v>63</v>
      </c>
      <c r="D36" s="108" t="s">
        <v>99</v>
      </c>
      <c r="E36" s="189">
        <v>0.26050000000000001</v>
      </c>
      <c r="F36" s="110" t="s">
        <v>101</v>
      </c>
      <c r="G36" s="190">
        <v>57000</v>
      </c>
      <c r="H36" s="112">
        <f t="shared" si="0"/>
        <v>14848.5</v>
      </c>
      <c r="I36" s="113">
        <f t="shared" si="6"/>
        <v>23</v>
      </c>
      <c r="J36" s="108" t="str">
        <f t="shared" si="7"/>
        <v>HVS A4 70GR</v>
      </c>
      <c r="K36" s="114" t="str">
        <f t="shared" si="8"/>
        <v>Plasma I</v>
      </c>
      <c r="L36" s="115">
        <f t="shared" si="2"/>
        <v>0.26050000000000001</v>
      </c>
      <c r="M36" s="116" t="str">
        <f t="shared" si="9"/>
        <v>RIM</v>
      </c>
      <c r="N36" s="115">
        <f t="shared" si="10"/>
        <v>57000</v>
      </c>
      <c r="O36" s="117">
        <f t="shared" si="5"/>
        <v>14848.5</v>
      </c>
      <c r="P36" s="118">
        <f t="shared" si="11"/>
        <v>0</v>
      </c>
      <c r="Q36" s="27" t="s">
        <v>320</v>
      </c>
      <c r="R36" s="27"/>
      <c r="S36" s="27"/>
      <c r="T36" s="27"/>
      <c r="U36" s="27"/>
      <c r="V36" s="27"/>
      <c r="W36" s="119"/>
    </row>
    <row r="37" spans="1:23" s="30" customFormat="1" ht="18" x14ac:dyDescent="0.35">
      <c r="A37" s="106">
        <f t="shared" si="13"/>
        <v>24</v>
      </c>
      <c r="B37" s="107" t="s">
        <v>62</v>
      </c>
      <c r="C37" s="107" t="s">
        <v>63</v>
      </c>
      <c r="D37" s="108" t="s">
        <v>132</v>
      </c>
      <c r="E37" s="189">
        <v>0.31259999999999999</v>
      </c>
      <c r="F37" s="110" t="s">
        <v>101</v>
      </c>
      <c r="G37" s="190">
        <v>45000</v>
      </c>
      <c r="H37" s="112">
        <f t="shared" si="0"/>
        <v>14067</v>
      </c>
      <c r="I37" s="113">
        <f t="shared" si="6"/>
        <v>24</v>
      </c>
      <c r="J37" s="108" t="str">
        <f t="shared" si="7"/>
        <v>KERTAS CD 500</v>
      </c>
      <c r="K37" s="114" t="str">
        <f t="shared" si="8"/>
        <v>Plasma I</v>
      </c>
      <c r="L37" s="115">
        <f t="shared" si="2"/>
        <v>0.31259999999999999</v>
      </c>
      <c r="M37" s="116" t="str">
        <f t="shared" si="9"/>
        <v>RIM</v>
      </c>
      <c r="N37" s="115">
        <f t="shared" si="10"/>
        <v>45000</v>
      </c>
      <c r="O37" s="117">
        <f t="shared" si="5"/>
        <v>14067</v>
      </c>
      <c r="P37" s="118">
        <f t="shared" si="11"/>
        <v>0</v>
      </c>
      <c r="Q37" s="27" t="s">
        <v>320</v>
      </c>
      <c r="R37" s="27"/>
      <c r="S37" s="27"/>
      <c r="T37" s="27"/>
      <c r="U37" s="27"/>
      <c r="V37" s="27"/>
      <c r="W37" s="119"/>
    </row>
    <row r="38" spans="1:23" s="30" customFormat="1" ht="18" x14ac:dyDescent="0.35">
      <c r="A38" s="106">
        <f t="shared" si="13"/>
        <v>25</v>
      </c>
      <c r="B38" s="107" t="s">
        <v>62</v>
      </c>
      <c r="C38" s="107" t="s">
        <v>63</v>
      </c>
      <c r="D38" s="108" t="s">
        <v>133</v>
      </c>
      <c r="E38" s="189">
        <v>0.1042</v>
      </c>
      <c r="F38" s="110" t="s">
        <v>101</v>
      </c>
      <c r="G38" s="190">
        <v>35000</v>
      </c>
      <c r="H38" s="112">
        <f t="shared" si="0"/>
        <v>3647</v>
      </c>
      <c r="I38" s="113">
        <f t="shared" si="6"/>
        <v>25</v>
      </c>
      <c r="J38" s="108" t="str">
        <f t="shared" si="7"/>
        <v>KERTAS BUFFALO</v>
      </c>
      <c r="K38" s="114" t="str">
        <f t="shared" si="8"/>
        <v>Plasma I</v>
      </c>
      <c r="L38" s="115">
        <f t="shared" si="2"/>
        <v>0.1042</v>
      </c>
      <c r="M38" s="116" t="str">
        <f t="shared" si="9"/>
        <v>RIM</v>
      </c>
      <c r="N38" s="115">
        <f t="shared" si="10"/>
        <v>35000</v>
      </c>
      <c r="O38" s="117">
        <f t="shared" si="5"/>
        <v>3647</v>
      </c>
      <c r="P38" s="118">
        <f t="shared" si="11"/>
        <v>0</v>
      </c>
      <c r="Q38" s="27" t="s">
        <v>320</v>
      </c>
      <c r="R38" s="27"/>
      <c r="S38" s="27"/>
      <c r="T38" s="27"/>
      <c r="U38" s="27"/>
      <c r="V38" s="27"/>
      <c r="W38" s="119"/>
    </row>
    <row r="39" spans="1:23" s="30" customFormat="1" ht="18" x14ac:dyDescent="0.35">
      <c r="A39" s="106">
        <f t="shared" si="13"/>
        <v>26</v>
      </c>
      <c r="B39" s="107" t="s">
        <v>62</v>
      </c>
      <c r="C39" s="107" t="s">
        <v>63</v>
      </c>
      <c r="D39" s="108" t="s">
        <v>134</v>
      </c>
      <c r="E39" s="189">
        <v>0.26050000000000001</v>
      </c>
      <c r="F39" s="110" t="s">
        <v>104</v>
      </c>
      <c r="G39" s="190">
        <v>35000</v>
      </c>
      <c r="H39" s="112">
        <f t="shared" si="0"/>
        <v>9117.5</v>
      </c>
      <c r="I39" s="113">
        <f t="shared" si="6"/>
        <v>26</v>
      </c>
      <c r="J39" s="108" t="str">
        <f t="shared" si="7"/>
        <v>TINTA DP 40</v>
      </c>
      <c r="K39" s="114" t="str">
        <f t="shared" si="8"/>
        <v>Plasma I</v>
      </c>
      <c r="L39" s="115">
        <f t="shared" si="2"/>
        <v>0.26050000000000001</v>
      </c>
      <c r="M39" s="116" t="str">
        <f t="shared" si="9"/>
        <v>KTK</v>
      </c>
      <c r="N39" s="115">
        <f t="shared" si="10"/>
        <v>35000</v>
      </c>
      <c r="O39" s="117">
        <f t="shared" si="5"/>
        <v>9117.5</v>
      </c>
      <c r="P39" s="118">
        <f t="shared" si="11"/>
        <v>0</v>
      </c>
      <c r="Q39" s="27" t="s">
        <v>320</v>
      </c>
      <c r="R39" s="27"/>
      <c r="S39" s="27"/>
      <c r="T39" s="27"/>
      <c r="U39" s="27"/>
      <c r="V39" s="27"/>
      <c r="W39" s="119"/>
    </row>
    <row r="40" spans="1:23" s="30" customFormat="1" ht="18" x14ac:dyDescent="0.35">
      <c r="A40" s="106">
        <f t="shared" si="13"/>
        <v>27</v>
      </c>
      <c r="B40" s="107" t="s">
        <v>62</v>
      </c>
      <c r="C40" s="107" t="s">
        <v>63</v>
      </c>
      <c r="D40" s="108" t="s">
        <v>135</v>
      </c>
      <c r="E40" s="189">
        <v>0.26050000000000001</v>
      </c>
      <c r="F40" s="110" t="s">
        <v>104</v>
      </c>
      <c r="G40" s="190">
        <v>35000</v>
      </c>
      <c r="H40" s="112">
        <f t="shared" si="0"/>
        <v>9117.5</v>
      </c>
      <c r="I40" s="113">
        <f t="shared" si="6"/>
        <v>27</v>
      </c>
      <c r="J40" s="108" t="str">
        <f t="shared" si="7"/>
        <v>TINTA DP 41</v>
      </c>
      <c r="K40" s="114" t="str">
        <f t="shared" si="8"/>
        <v>Plasma I</v>
      </c>
      <c r="L40" s="115">
        <f t="shared" si="2"/>
        <v>0.26050000000000001</v>
      </c>
      <c r="M40" s="116" t="str">
        <f t="shared" si="9"/>
        <v>KTK</v>
      </c>
      <c r="N40" s="115">
        <f t="shared" si="10"/>
        <v>35000</v>
      </c>
      <c r="O40" s="117">
        <f t="shared" si="5"/>
        <v>9117.5</v>
      </c>
      <c r="P40" s="118">
        <f t="shared" si="11"/>
        <v>0</v>
      </c>
      <c r="Q40" s="27" t="s">
        <v>320</v>
      </c>
      <c r="R40" s="27"/>
      <c r="S40" s="27"/>
      <c r="T40" s="27"/>
      <c r="U40" s="27"/>
      <c r="V40" s="27"/>
      <c r="W40" s="119"/>
    </row>
    <row r="41" spans="1:23" s="30" customFormat="1" ht="18" x14ac:dyDescent="0.35">
      <c r="A41" s="106">
        <f t="shared" si="13"/>
        <v>28</v>
      </c>
      <c r="B41" s="107" t="s">
        <v>62</v>
      </c>
      <c r="C41" s="107" t="s">
        <v>63</v>
      </c>
      <c r="D41" s="108" t="s">
        <v>136</v>
      </c>
      <c r="E41" s="189">
        <v>0.2084</v>
      </c>
      <c r="F41" s="110" t="s">
        <v>105</v>
      </c>
      <c r="G41" s="190">
        <v>250000</v>
      </c>
      <c r="H41" s="112">
        <f>+E41*G41</f>
        <v>52100</v>
      </c>
      <c r="I41" s="113">
        <f t="shared" si="6"/>
        <v>28</v>
      </c>
      <c r="J41" s="108" t="str">
        <f t="shared" si="7"/>
        <v>FRAME PRESIDEN</v>
      </c>
      <c r="K41" s="114" t="str">
        <f t="shared" si="8"/>
        <v>Plasma I</v>
      </c>
      <c r="L41" s="115">
        <f t="shared" si="2"/>
        <v>0.2084</v>
      </c>
      <c r="M41" s="116" t="str">
        <f t="shared" si="9"/>
        <v>SET</v>
      </c>
      <c r="N41" s="115">
        <f t="shared" si="10"/>
        <v>250000</v>
      </c>
      <c r="O41" s="117">
        <f t="shared" si="5"/>
        <v>52100</v>
      </c>
      <c r="P41" s="118">
        <f t="shared" si="11"/>
        <v>0</v>
      </c>
      <c r="Q41" s="27" t="s">
        <v>320</v>
      </c>
      <c r="R41" s="27"/>
      <c r="S41" s="27"/>
      <c r="T41" s="27"/>
      <c r="U41" s="27"/>
      <c r="V41" s="27"/>
      <c r="W41" s="119"/>
    </row>
    <row r="42" spans="1:23" s="30" customFormat="1" ht="18" x14ac:dyDescent="0.35">
      <c r="A42" s="106">
        <f t="shared" si="13"/>
        <v>29</v>
      </c>
      <c r="B42" s="107" t="s">
        <v>62</v>
      </c>
      <c r="C42" s="107" t="s">
        <v>63</v>
      </c>
      <c r="D42" s="108" t="s">
        <v>137</v>
      </c>
      <c r="E42" s="189">
        <v>5.21E-2</v>
      </c>
      <c r="F42" s="110" t="s">
        <v>103</v>
      </c>
      <c r="G42" s="190">
        <v>125000</v>
      </c>
      <c r="H42" s="112">
        <f t="shared" si="0"/>
        <v>6512.5</v>
      </c>
      <c r="I42" s="113">
        <f t="shared" si="6"/>
        <v>29</v>
      </c>
      <c r="J42" s="108" t="str">
        <f t="shared" si="7"/>
        <v>FRAME GARUDA</v>
      </c>
      <c r="K42" s="114" t="str">
        <f t="shared" si="8"/>
        <v>Plasma I</v>
      </c>
      <c r="L42" s="115">
        <f t="shared" si="2"/>
        <v>5.21E-2</v>
      </c>
      <c r="M42" s="116" t="str">
        <f t="shared" si="9"/>
        <v>PCS</v>
      </c>
      <c r="N42" s="115">
        <f t="shared" si="10"/>
        <v>125000</v>
      </c>
      <c r="O42" s="117">
        <f t="shared" si="5"/>
        <v>6512.5</v>
      </c>
      <c r="P42" s="118">
        <f t="shared" si="11"/>
        <v>0</v>
      </c>
      <c r="Q42" s="27" t="s">
        <v>320</v>
      </c>
      <c r="R42" s="27"/>
      <c r="S42" s="27"/>
      <c r="T42" s="27"/>
      <c r="U42" s="27"/>
      <c r="V42" s="27"/>
      <c r="W42" s="119"/>
    </row>
    <row r="43" spans="1:23" s="30" customFormat="1" ht="18" x14ac:dyDescent="0.35">
      <c r="A43" s="106">
        <f t="shared" si="13"/>
        <v>30</v>
      </c>
      <c r="B43" s="107" t="s">
        <v>62</v>
      </c>
      <c r="C43" s="107" t="s">
        <v>63</v>
      </c>
      <c r="D43" s="108" t="s">
        <v>138</v>
      </c>
      <c r="E43" s="189">
        <v>0.52100000000000002</v>
      </c>
      <c r="F43" s="110" t="s">
        <v>103</v>
      </c>
      <c r="G43" s="190">
        <v>25000</v>
      </c>
      <c r="H43" s="112">
        <f t="shared" si="0"/>
        <v>13025</v>
      </c>
      <c r="I43" s="113">
        <f t="shared" si="6"/>
        <v>30</v>
      </c>
      <c r="J43" s="108" t="str">
        <f t="shared" si="7"/>
        <v>ODNER FOLIO KINGCO</v>
      </c>
      <c r="K43" s="114" t="str">
        <f t="shared" si="8"/>
        <v>Plasma I</v>
      </c>
      <c r="L43" s="115">
        <f t="shared" si="2"/>
        <v>0.52100000000000002</v>
      </c>
      <c r="M43" s="116" t="str">
        <f t="shared" si="9"/>
        <v>PCS</v>
      </c>
      <c r="N43" s="115">
        <f t="shared" si="10"/>
        <v>25000</v>
      </c>
      <c r="O43" s="117">
        <f t="shared" si="5"/>
        <v>13025</v>
      </c>
      <c r="P43" s="118">
        <f t="shared" si="11"/>
        <v>0</v>
      </c>
      <c r="Q43" s="27" t="s">
        <v>320</v>
      </c>
      <c r="R43" s="27"/>
      <c r="S43" s="27"/>
      <c r="T43" s="27"/>
      <c r="U43" s="27"/>
      <c r="V43" s="27"/>
      <c r="W43" s="119"/>
    </row>
    <row r="44" spans="1:23" s="30" customFormat="1" ht="18" x14ac:dyDescent="0.35">
      <c r="A44" s="106">
        <f t="shared" si="13"/>
        <v>31</v>
      </c>
      <c r="B44" s="107" t="s">
        <v>62</v>
      </c>
      <c r="C44" s="107" t="s">
        <v>63</v>
      </c>
      <c r="D44" s="108" t="s">
        <v>139</v>
      </c>
      <c r="E44" s="189">
        <v>0.52100000000000002</v>
      </c>
      <c r="F44" s="110" t="s">
        <v>103</v>
      </c>
      <c r="G44" s="190">
        <v>12000</v>
      </c>
      <c r="H44" s="112">
        <f t="shared" si="0"/>
        <v>6252</v>
      </c>
      <c r="I44" s="113">
        <f t="shared" si="6"/>
        <v>31</v>
      </c>
      <c r="J44" s="108" t="str">
        <f t="shared" si="7"/>
        <v>MATERAI 10000</v>
      </c>
      <c r="K44" s="114" t="str">
        <f t="shared" si="8"/>
        <v>Plasma I</v>
      </c>
      <c r="L44" s="115">
        <f t="shared" si="2"/>
        <v>0.52100000000000002</v>
      </c>
      <c r="M44" s="116" t="str">
        <f t="shared" si="9"/>
        <v>PCS</v>
      </c>
      <c r="N44" s="115">
        <f t="shared" si="10"/>
        <v>12000</v>
      </c>
      <c r="O44" s="117">
        <f t="shared" si="5"/>
        <v>6252</v>
      </c>
      <c r="P44" s="118">
        <f t="shared" si="11"/>
        <v>0</v>
      </c>
      <c r="Q44" s="27" t="s">
        <v>320</v>
      </c>
      <c r="R44" s="27"/>
      <c r="S44" s="27"/>
      <c r="T44" s="27"/>
      <c r="U44" s="27"/>
      <c r="V44" s="27"/>
      <c r="W44" s="119"/>
    </row>
    <row r="45" spans="1:23" s="30" customFormat="1" ht="18" x14ac:dyDescent="0.35">
      <c r="A45" s="106">
        <f t="shared" si="13"/>
        <v>32</v>
      </c>
      <c r="B45" s="107" t="s">
        <v>62</v>
      </c>
      <c r="C45" s="107" t="s">
        <v>63</v>
      </c>
      <c r="D45" s="108" t="s">
        <v>140</v>
      </c>
      <c r="E45" s="189">
        <v>5.21E-2</v>
      </c>
      <c r="F45" s="110" t="s">
        <v>103</v>
      </c>
      <c r="G45" s="190">
        <v>12000</v>
      </c>
      <c r="H45" s="112">
        <f t="shared" si="0"/>
        <v>625.20000000000005</v>
      </c>
      <c r="I45" s="113">
        <f t="shared" si="6"/>
        <v>32</v>
      </c>
      <c r="J45" s="108" t="str">
        <f t="shared" si="7"/>
        <v xml:space="preserve">REMOVER </v>
      </c>
      <c r="K45" s="114" t="str">
        <f t="shared" si="8"/>
        <v>Plasma I</v>
      </c>
      <c r="L45" s="115">
        <f t="shared" si="2"/>
        <v>5.21E-2</v>
      </c>
      <c r="M45" s="116" t="str">
        <f t="shared" si="9"/>
        <v>PCS</v>
      </c>
      <c r="N45" s="115">
        <f t="shared" si="10"/>
        <v>12000</v>
      </c>
      <c r="O45" s="117">
        <f t="shared" si="5"/>
        <v>625.20000000000005</v>
      </c>
      <c r="P45" s="118">
        <f t="shared" si="11"/>
        <v>0</v>
      </c>
      <c r="Q45" s="27" t="s">
        <v>320</v>
      </c>
      <c r="R45" s="27"/>
      <c r="S45" s="27"/>
      <c r="T45" s="27"/>
      <c r="U45" s="27"/>
      <c r="V45" s="27"/>
      <c r="W45" s="119"/>
    </row>
    <row r="46" spans="1:23" s="30" customFormat="1" ht="18" x14ac:dyDescent="0.35">
      <c r="A46" s="106">
        <f t="shared" si="13"/>
        <v>33</v>
      </c>
      <c r="B46" s="107" t="s">
        <v>62</v>
      </c>
      <c r="C46" s="107" t="s">
        <v>63</v>
      </c>
      <c r="D46" s="108" t="s">
        <v>141</v>
      </c>
      <c r="E46" s="189">
        <v>0.52100000000000002</v>
      </c>
      <c r="F46" s="110" t="s">
        <v>103</v>
      </c>
      <c r="G46" s="190">
        <v>4000</v>
      </c>
      <c r="H46" s="112">
        <f t="shared" si="0"/>
        <v>2084</v>
      </c>
      <c r="I46" s="113">
        <f t="shared" si="6"/>
        <v>33</v>
      </c>
      <c r="J46" s="108" t="str">
        <f t="shared" si="7"/>
        <v>MAP TRANSPARANT</v>
      </c>
      <c r="K46" s="114" t="str">
        <f t="shared" si="8"/>
        <v>Plasma I</v>
      </c>
      <c r="L46" s="115">
        <f t="shared" ref="L46:L77" si="14">SUMIFS($E$14:$E$166,$D$14:$D$166,J46,$B$14:$B$166,K46)</f>
        <v>0.52100000000000002</v>
      </c>
      <c r="M46" s="116" t="str">
        <f t="shared" si="9"/>
        <v>PCS</v>
      </c>
      <c r="N46" s="115">
        <f t="shared" si="10"/>
        <v>4000</v>
      </c>
      <c r="O46" s="117">
        <f t="shared" ref="O46:O77" si="15">SUMIFS($H$14:$H$166,$D$14:$D$166,J46,$B$14:$B$166,K46)</f>
        <v>2084</v>
      </c>
      <c r="P46" s="118">
        <f t="shared" si="11"/>
        <v>0</v>
      </c>
      <c r="Q46" s="27" t="s">
        <v>320</v>
      </c>
      <c r="R46" s="27"/>
      <c r="S46" s="27"/>
      <c r="T46" s="27"/>
      <c r="U46" s="27"/>
      <c r="V46" s="27"/>
      <c r="W46" s="119"/>
    </row>
    <row r="47" spans="1:23" s="30" customFormat="1" ht="18" x14ac:dyDescent="0.35">
      <c r="A47" s="106">
        <f t="shared" si="13"/>
        <v>34</v>
      </c>
      <c r="B47" s="107" t="s">
        <v>62</v>
      </c>
      <c r="C47" s="107" t="s">
        <v>63</v>
      </c>
      <c r="D47" s="108" t="s">
        <v>142</v>
      </c>
      <c r="E47" s="189">
        <v>5.21E-2</v>
      </c>
      <c r="F47" s="110" t="s">
        <v>102</v>
      </c>
      <c r="G47" s="190">
        <v>145000</v>
      </c>
      <c r="H47" s="112">
        <f t="shared" si="0"/>
        <v>7554.5</v>
      </c>
      <c r="I47" s="113">
        <f t="shared" si="6"/>
        <v>34</v>
      </c>
      <c r="J47" s="108" t="str">
        <f t="shared" si="7"/>
        <v>PLASTIK LAMINATING F4</v>
      </c>
      <c r="K47" s="114" t="str">
        <f t="shared" si="8"/>
        <v>Plasma I</v>
      </c>
      <c r="L47" s="115">
        <f t="shared" si="14"/>
        <v>5.21E-2</v>
      </c>
      <c r="M47" s="116" t="str">
        <f t="shared" si="9"/>
        <v>PAK</v>
      </c>
      <c r="N47" s="115">
        <f t="shared" si="10"/>
        <v>145000</v>
      </c>
      <c r="O47" s="117">
        <f t="shared" si="15"/>
        <v>7554.5</v>
      </c>
      <c r="P47" s="118">
        <f t="shared" si="11"/>
        <v>0</v>
      </c>
      <c r="Q47" s="27" t="s">
        <v>320</v>
      </c>
      <c r="R47" s="27"/>
      <c r="S47" s="27"/>
      <c r="T47" s="27"/>
      <c r="U47" s="27"/>
      <c r="V47" s="27"/>
      <c r="W47" s="119"/>
    </row>
    <row r="48" spans="1:23" s="30" customFormat="1" ht="18" x14ac:dyDescent="0.35">
      <c r="A48" s="106">
        <f t="shared" si="13"/>
        <v>35</v>
      </c>
      <c r="B48" s="107" t="s">
        <v>62</v>
      </c>
      <c r="C48" s="107" t="s">
        <v>63</v>
      </c>
      <c r="D48" s="108" t="s">
        <v>143</v>
      </c>
      <c r="E48" s="189">
        <v>5.21E-2</v>
      </c>
      <c r="F48" s="110" t="s">
        <v>103</v>
      </c>
      <c r="G48" s="190">
        <v>60000</v>
      </c>
      <c r="H48" s="112">
        <f t="shared" si="0"/>
        <v>3126</v>
      </c>
      <c r="I48" s="113">
        <f t="shared" si="6"/>
        <v>35</v>
      </c>
      <c r="J48" s="108" t="str">
        <f t="shared" si="7"/>
        <v>PELUBANG KERTAS F4</v>
      </c>
      <c r="K48" s="114" t="str">
        <f t="shared" si="8"/>
        <v>Plasma I</v>
      </c>
      <c r="L48" s="115">
        <f t="shared" si="14"/>
        <v>5.21E-2</v>
      </c>
      <c r="M48" s="116" t="str">
        <f t="shared" si="9"/>
        <v>PCS</v>
      </c>
      <c r="N48" s="115">
        <f t="shared" si="10"/>
        <v>60000</v>
      </c>
      <c r="O48" s="117">
        <f t="shared" si="15"/>
        <v>3126</v>
      </c>
      <c r="P48" s="118">
        <f t="shared" si="11"/>
        <v>0</v>
      </c>
      <c r="Q48" s="27" t="s">
        <v>320</v>
      </c>
      <c r="R48" s="27"/>
      <c r="S48" s="27"/>
      <c r="T48" s="27"/>
      <c r="U48" s="27"/>
      <c r="V48" s="27"/>
      <c r="W48" s="119"/>
    </row>
    <row r="49" spans="1:23" s="30" customFormat="1" ht="18" x14ac:dyDescent="0.35">
      <c r="A49" s="106">
        <f t="shared" si="13"/>
        <v>36</v>
      </c>
      <c r="B49" s="107" t="s">
        <v>62</v>
      </c>
      <c r="C49" s="107" t="s">
        <v>63</v>
      </c>
      <c r="D49" s="108" t="s">
        <v>144</v>
      </c>
      <c r="E49" s="189">
        <v>5.21E-2</v>
      </c>
      <c r="F49" s="110" t="s">
        <v>103</v>
      </c>
      <c r="G49" s="190">
        <v>80000</v>
      </c>
      <c r="H49" s="112">
        <f t="shared" si="0"/>
        <v>4168</v>
      </c>
      <c r="I49" s="113">
        <f t="shared" si="6"/>
        <v>36</v>
      </c>
      <c r="J49" s="108" t="str">
        <f t="shared" si="7"/>
        <v>STAPLES HD 50 MAX</v>
      </c>
      <c r="K49" s="114" t="str">
        <f t="shared" si="8"/>
        <v>Plasma I</v>
      </c>
      <c r="L49" s="115">
        <f t="shared" si="14"/>
        <v>5.21E-2</v>
      </c>
      <c r="M49" s="116" t="str">
        <f t="shared" si="9"/>
        <v>PCS</v>
      </c>
      <c r="N49" s="115">
        <f t="shared" si="10"/>
        <v>80000</v>
      </c>
      <c r="O49" s="117">
        <f t="shared" si="15"/>
        <v>4168</v>
      </c>
      <c r="P49" s="118">
        <f t="shared" si="11"/>
        <v>0</v>
      </c>
      <c r="Q49" s="27" t="s">
        <v>320</v>
      </c>
      <c r="R49" s="27"/>
      <c r="S49" s="27"/>
      <c r="T49" s="27"/>
      <c r="U49" s="27"/>
      <c r="V49" s="27"/>
      <c r="W49" s="119"/>
    </row>
    <row r="50" spans="1:23" s="30" customFormat="1" ht="18" x14ac:dyDescent="0.35">
      <c r="A50" s="106">
        <f t="shared" si="13"/>
        <v>37</v>
      </c>
      <c r="B50" s="107" t="s">
        <v>62</v>
      </c>
      <c r="C50" s="107" t="s">
        <v>63</v>
      </c>
      <c r="D50" s="108" t="s">
        <v>145</v>
      </c>
      <c r="E50" s="189">
        <v>5.21E-2</v>
      </c>
      <c r="F50" s="110" t="s">
        <v>103</v>
      </c>
      <c r="G50" s="190">
        <v>8000</v>
      </c>
      <c r="H50" s="112">
        <f t="shared" si="0"/>
        <v>416.8</v>
      </c>
      <c r="I50" s="113">
        <f t="shared" si="6"/>
        <v>37</v>
      </c>
      <c r="J50" s="108" t="str">
        <f t="shared" si="7"/>
        <v>PENGGARIS BESI</v>
      </c>
      <c r="K50" s="114" t="str">
        <f t="shared" si="8"/>
        <v>Plasma I</v>
      </c>
      <c r="L50" s="115">
        <f t="shared" si="14"/>
        <v>5.21E-2</v>
      </c>
      <c r="M50" s="116" t="str">
        <f t="shared" si="9"/>
        <v>PCS</v>
      </c>
      <c r="N50" s="115">
        <f t="shared" si="10"/>
        <v>8000</v>
      </c>
      <c r="O50" s="117">
        <f t="shared" si="15"/>
        <v>416.8</v>
      </c>
      <c r="P50" s="118">
        <f t="shared" si="11"/>
        <v>0</v>
      </c>
      <c r="Q50" s="27" t="s">
        <v>320</v>
      </c>
      <c r="R50" s="27"/>
      <c r="S50" s="27"/>
      <c r="T50" s="27"/>
      <c r="U50" s="27"/>
      <c r="V50" s="27"/>
      <c r="W50" s="119"/>
    </row>
    <row r="51" spans="1:23" s="30" customFormat="1" ht="18" x14ac:dyDescent="0.35">
      <c r="A51" s="106">
        <f t="shared" si="13"/>
        <v>38</v>
      </c>
      <c r="B51" s="107" t="s">
        <v>62</v>
      </c>
      <c r="C51" s="107" t="s">
        <v>63</v>
      </c>
      <c r="D51" s="108" t="s">
        <v>146</v>
      </c>
      <c r="E51" s="189">
        <v>5.21E-2</v>
      </c>
      <c r="F51" s="110" t="s">
        <v>103</v>
      </c>
      <c r="G51" s="190">
        <v>17000</v>
      </c>
      <c r="H51" s="112">
        <f t="shared" si="0"/>
        <v>885.7</v>
      </c>
      <c r="I51" s="113">
        <f t="shared" si="6"/>
        <v>38</v>
      </c>
      <c r="J51" s="108" t="str">
        <f t="shared" si="7"/>
        <v>GUNTING</v>
      </c>
      <c r="K51" s="114" t="str">
        <f t="shared" si="8"/>
        <v>Plasma I</v>
      </c>
      <c r="L51" s="115">
        <f t="shared" si="14"/>
        <v>5.21E-2</v>
      </c>
      <c r="M51" s="116" t="str">
        <f t="shared" si="9"/>
        <v>PCS</v>
      </c>
      <c r="N51" s="115">
        <f t="shared" si="10"/>
        <v>17000</v>
      </c>
      <c r="O51" s="117">
        <f t="shared" si="15"/>
        <v>885.7</v>
      </c>
      <c r="P51" s="118">
        <f t="shared" si="11"/>
        <v>0</v>
      </c>
      <c r="Q51" s="27" t="s">
        <v>320</v>
      </c>
      <c r="R51" s="27"/>
      <c r="S51" s="27"/>
      <c r="T51" s="27"/>
      <c r="U51" s="27"/>
      <c r="V51" s="27"/>
      <c r="W51" s="119"/>
    </row>
    <row r="52" spans="1:23" s="30" customFormat="1" ht="18" x14ac:dyDescent="0.35">
      <c r="A52" s="106">
        <f t="shared" si="13"/>
        <v>39</v>
      </c>
      <c r="B52" s="107" t="s">
        <v>62</v>
      </c>
      <c r="C52" s="107" t="s">
        <v>63</v>
      </c>
      <c r="D52" s="108" t="s">
        <v>131</v>
      </c>
      <c r="E52" s="189">
        <v>0.26050000000000001</v>
      </c>
      <c r="F52" s="110" t="s">
        <v>103</v>
      </c>
      <c r="G52" s="190">
        <v>5000</v>
      </c>
      <c r="H52" s="112">
        <f t="shared" si="0"/>
        <v>1302.5</v>
      </c>
      <c r="I52" s="113">
        <f t="shared" si="6"/>
        <v>39</v>
      </c>
      <c r="J52" s="108" t="str">
        <f t="shared" ref="J52:J61" si="16">D53</f>
        <v>POST IT</v>
      </c>
      <c r="K52" s="114" t="str">
        <f t="shared" si="8"/>
        <v>Plasma I</v>
      </c>
      <c r="L52" s="115">
        <f t="shared" si="14"/>
        <v>0.1042</v>
      </c>
      <c r="M52" s="116" t="str">
        <f>F53</f>
        <v>PCS</v>
      </c>
      <c r="N52" s="115">
        <f t="shared" si="10"/>
        <v>24000</v>
      </c>
      <c r="O52" s="117">
        <f t="shared" si="15"/>
        <v>2500.8000000000002</v>
      </c>
      <c r="P52" s="118">
        <f t="shared" si="11"/>
        <v>-1198.3000000000002</v>
      </c>
      <c r="Q52" s="27" t="s">
        <v>320</v>
      </c>
      <c r="R52" s="27"/>
      <c r="S52" s="27"/>
      <c r="T52" s="27"/>
      <c r="U52" s="27"/>
      <c r="V52" s="27"/>
      <c r="W52" s="119"/>
    </row>
    <row r="53" spans="1:23" s="30" customFormat="1" ht="18" x14ac:dyDescent="0.35">
      <c r="A53" s="106">
        <f t="shared" si="13"/>
        <v>40</v>
      </c>
      <c r="B53" s="107" t="s">
        <v>62</v>
      </c>
      <c r="C53" s="107" t="s">
        <v>63</v>
      </c>
      <c r="D53" s="108" t="s">
        <v>147</v>
      </c>
      <c r="E53" s="189">
        <v>0.1042</v>
      </c>
      <c r="F53" s="110" t="s">
        <v>103</v>
      </c>
      <c r="G53" s="190">
        <v>24000</v>
      </c>
      <c r="H53" s="112">
        <f t="shared" si="0"/>
        <v>2500.8000000000002</v>
      </c>
      <c r="I53" s="113">
        <f t="shared" si="6"/>
        <v>40</v>
      </c>
      <c r="J53" s="108" t="str">
        <f t="shared" si="16"/>
        <v>STELLA MATIC REFILL</v>
      </c>
      <c r="K53" s="114" t="str">
        <f t="shared" si="8"/>
        <v>Plasma I</v>
      </c>
      <c r="L53" s="115">
        <f t="shared" si="14"/>
        <v>0.15629999999999999</v>
      </c>
      <c r="M53" s="116" t="str">
        <f>F54</f>
        <v>PCS</v>
      </c>
      <c r="N53" s="115">
        <f t="shared" si="10"/>
        <v>37000</v>
      </c>
      <c r="O53" s="117">
        <f t="shared" si="15"/>
        <v>5783.0999999999995</v>
      </c>
      <c r="P53" s="118">
        <f t="shared" si="11"/>
        <v>-3282.2999999999993</v>
      </c>
      <c r="Q53" s="27" t="s">
        <v>320</v>
      </c>
      <c r="R53" s="27"/>
      <c r="S53" s="27"/>
      <c r="T53" s="27"/>
      <c r="U53" s="27"/>
      <c r="V53" s="27"/>
      <c r="W53" s="119"/>
    </row>
    <row r="54" spans="1:23" s="30" customFormat="1" ht="18" x14ac:dyDescent="0.35">
      <c r="A54" s="106">
        <f t="shared" si="13"/>
        <v>41</v>
      </c>
      <c r="B54" s="107" t="s">
        <v>62</v>
      </c>
      <c r="C54" s="107" t="s">
        <v>63</v>
      </c>
      <c r="D54" s="108" t="s">
        <v>107</v>
      </c>
      <c r="E54" s="189">
        <v>0.15629999999999999</v>
      </c>
      <c r="F54" s="110" t="s">
        <v>103</v>
      </c>
      <c r="G54" s="190">
        <v>37000</v>
      </c>
      <c r="H54" s="112">
        <f t="shared" si="0"/>
        <v>5783.0999999999995</v>
      </c>
      <c r="I54" s="113">
        <f t="shared" si="6"/>
        <v>41</v>
      </c>
      <c r="J54" s="108" t="str">
        <f t="shared" si="16"/>
        <v>TISSU 900GR</v>
      </c>
      <c r="K54" s="114" t="str">
        <f t="shared" si="8"/>
        <v>Plasma I</v>
      </c>
      <c r="L54" s="115">
        <f t="shared" si="14"/>
        <v>5.21E-2</v>
      </c>
      <c r="M54" s="116" t="str">
        <f t="shared" ref="M54:M61" si="17">F55</f>
        <v>PCS</v>
      </c>
      <c r="N54" s="115">
        <f t="shared" si="10"/>
        <v>50000</v>
      </c>
      <c r="O54" s="117">
        <f t="shared" si="15"/>
        <v>2605</v>
      </c>
      <c r="P54" s="118">
        <f t="shared" si="11"/>
        <v>3178.0999999999995</v>
      </c>
      <c r="Q54" s="27" t="s">
        <v>320</v>
      </c>
      <c r="R54" s="27"/>
      <c r="S54" s="27"/>
      <c r="T54" s="27"/>
      <c r="U54" s="27"/>
      <c r="V54" s="27"/>
      <c r="W54" s="119"/>
    </row>
    <row r="55" spans="1:23" s="30" customFormat="1" ht="18" x14ac:dyDescent="0.35">
      <c r="A55" s="106">
        <f t="shared" si="13"/>
        <v>42</v>
      </c>
      <c r="B55" s="107" t="s">
        <v>62</v>
      </c>
      <c r="C55" s="107" t="s">
        <v>63</v>
      </c>
      <c r="D55" s="108" t="s">
        <v>108</v>
      </c>
      <c r="E55" s="189">
        <v>5.21E-2</v>
      </c>
      <c r="F55" s="110" t="s">
        <v>103</v>
      </c>
      <c r="G55" s="190">
        <v>50000</v>
      </c>
      <c r="H55" s="112">
        <f t="shared" si="0"/>
        <v>2605</v>
      </c>
      <c r="I55" s="113">
        <f t="shared" si="6"/>
        <v>42</v>
      </c>
      <c r="J55" s="108" t="str">
        <f t="shared" si="16"/>
        <v>SOKLIN LANTAI</v>
      </c>
      <c r="K55" s="114" t="str">
        <f t="shared" si="8"/>
        <v>Plasma I</v>
      </c>
      <c r="L55" s="115">
        <f t="shared" si="14"/>
        <v>0.4168</v>
      </c>
      <c r="M55" s="116" t="str">
        <f t="shared" si="17"/>
        <v>PCS</v>
      </c>
      <c r="N55" s="115">
        <f t="shared" si="10"/>
        <v>15999.999999999998</v>
      </c>
      <c r="O55" s="117">
        <f t="shared" si="15"/>
        <v>6668.7999999999993</v>
      </c>
      <c r="P55" s="118">
        <f t="shared" si="11"/>
        <v>-4063.7999999999993</v>
      </c>
      <c r="Q55" s="27" t="s">
        <v>320</v>
      </c>
      <c r="R55" s="27"/>
      <c r="S55" s="27"/>
      <c r="T55" s="27"/>
      <c r="U55" s="27"/>
      <c r="V55" s="27"/>
      <c r="W55" s="119"/>
    </row>
    <row r="56" spans="1:23" s="30" customFormat="1" ht="18" x14ac:dyDescent="0.35">
      <c r="A56" s="106">
        <f t="shared" si="13"/>
        <v>43</v>
      </c>
      <c r="B56" s="107" t="s">
        <v>62</v>
      </c>
      <c r="C56" s="107" t="s">
        <v>63</v>
      </c>
      <c r="D56" s="108" t="s">
        <v>106</v>
      </c>
      <c r="E56" s="189">
        <v>0.15629999999999999</v>
      </c>
      <c r="F56" s="110" t="s">
        <v>103</v>
      </c>
      <c r="G56" s="190">
        <v>16000</v>
      </c>
      <c r="H56" s="112">
        <f t="shared" si="0"/>
        <v>2500.7999999999997</v>
      </c>
      <c r="I56" s="113">
        <f t="shared" si="6"/>
        <v>43</v>
      </c>
      <c r="J56" s="108" t="str">
        <f t="shared" si="16"/>
        <v>MESIN POMPA AIR PANASONIC GP 200 JXK NON OTOMATIS</v>
      </c>
      <c r="K56" s="114" t="str">
        <f t="shared" si="8"/>
        <v>Plasma I</v>
      </c>
      <c r="L56" s="115">
        <f t="shared" si="14"/>
        <v>5.21E-2</v>
      </c>
      <c r="M56" s="116" t="str">
        <f t="shared" si="17"/>
        <v>UNIT</v>
      </c>
      <c r="N56" s="115">
        <f t="shared" si="10"/>
        <v>854800</v>
      </c>
      <c r="O56" s="117">
        <f t="shared" si="15"/>
        <v>44535.08</v>
      </c>
      <c r="P56" s="118">
        <f>H56-O56</f>
        <v>-42034.28</v>
      </c>
      <c r="Q56" s="27" t="s">
        <v>320</v>
      </c>
      <c r="R56" s="27"/>
      <c r="S56" s="27"/>
      <c r="T56" s="27"/>
      <c r="U56" s="27"/>
      <c r="V56" s="27"/>
      <c r="W56" s="119"/>
    </row>
    <row r="57" spans="1:23" s="30" customFormat="1" ht="18" x14ac:dyDescent="0.35">
      <c r="A57" s="106">
        <f t="shared" si="13"/>
        <v>44</v>
      </c>
      <c r="B57" s="107" t="s">
        <v>62</v>
      </c>
      <c r="C57" s="107" t="s">
        <v>63</v>
      </c>
      <c r="D57" s="108" t="s">
        <v>148</v>
      </c>
      <c r="E57" s="109">
        <v>5.21E-2</v>
      </c>
      <c r="F57" s="110" t="s">
        <v>113</v>
      </c>
      <c r="G57" s="111">
        <v>854800</v>
      </c>
      <c r="H57" s="112">
        <f t="shared" si="0"/>
        <v>44535.08</v>
      </c>
      <c r="I57" s="113">
        <f t="shared" si="6"/>
        <v>44</v>
      </c>
      <c r="J57" s="108" t="str">
        <f t="shared" si="16"/>
        <v>RAPIKA</v>
      </c>
      <c r="K57" s="114" t="str">
        <f t="shared" si="8"/>
        <v>Plasma I</v>
      </c>
      <c r="L57" s="115">
        <f t="shared" si="14"/>
        <v>0.1042</v>
      </c>
      <c r="M57" s="116" t="str">
        <f t="shared" si="17"/>
        <v>BTL</v>
      </c>
      <c r="N57" s="115">
        <f t="shared" si="10"/>
        <v>11000</v>
      </c>
      <c r="O57" s="117">
        <f t="shared" si="15"/>
        <v>1146.2</v>
      </c>
      <c r="P57" s="118">
        <f t="shared" si="11"/>
        <v>43388.880000000005</v>
      </c>
      <c r="Q57" s="27" t="s">
        <v>320</v>
      </c>
      <c r="R57" s="27"/>
      <c r="S57" s="27"/>
      <c r="T57" s="27"/>
      <c r="U57" s="27"/>
      <c r="V57" s="27"/>
      <c r="W57" s="119"/>
    </row>
    <row r="58" spans="1:23" s="30" customFormat="1" ht="18" x14ac:dyDescent="0.35">
      <c r="A58" s="106">
        <f t="shared" si="13"/>
        <v>45</v>
      </c>
      <c r="B58" s="107" t="s">
        <v>62</v>
      </c>
      <c r="C58" s="107" t="s">
        <v>63</v>
      </c>
      <c r="D58" s="108" t="s">
        <v>149</v>
      </c>
      <c r="E58" s="109">
        <v>0.1042</v>
      </c>
      <c r="F58" s="110" t="s">
        <v>112</v>
      </c>
      <c r="G58" s="111">
        <v>11000</v>
      </c>
      <c r="H58" s="112">
        <f t="shared" si="0"/>
        <v>1146.2</v>
      </c>
      <c r="I58" s="113">
        <f t="shared" si="6"/>
        <v>45</v>
      </c>
      <c r="J58" s="108" t="str">
        <f t="shared" si="16"/>
        <v>SIKAT GIGI</v>
      </c>
      <c r="K58" s="114" t="str">
        <f t="shared" si="8"/>
        <v>Plasma I</v>
      </c>
      <c r="L58" s="115">
        <f t="shared" si="14"/>
        <v>0.62519999999999998</v>
      </c>
      <c r="M58" s="116" t="str">
        <f t="shared" si="17"/>
        <v>BH</v>
      </c>
      <c r="N58" s="115">
        <f t="shared" si="10"/>
        <v>12000</v>
      </c>
      <c r="O58" s="117">
        <f t="shared" si="15"/>
        <v>7502.4</v>
      </c>
      <c r="P58" s="118">
        <f t="shared" si="11"/>
        <v>-6356.2</v>
      </c>
      <c r="Q58" s="27" t="s">
        <v>320</v>
      </c>
      <c r="R58" s="27"/>
      <c r="S58" s="27"/>
      <c r="T58" s="27"/>
      <c r="U58" s="27"/>
      <c r="V58" s="27"/>
      <c r="W58" s="119"/>
    </row>
    <row r="59" spans="1:23" s="30" customFormat="1" ht="18" x14ac:dyDescent="0.35">
      <c r="A59" s="106">
        <f t="shared" si="13"/>
        <v>46</v>
      </c>
      <c r="B59" s="107" t="s">
        <v>62</v>
      </c>
      <c r="C59" s="107" t="s">
        <v>63</v>
      </c>
      <c r="D59" s="108" t="s">
        <v>150</v>
      </c>
      <c r="E59" s="109">
        <v>0.62519999999999998</v>
      </c>
      <c r="F59" s="110" t="s">
        <v>166</v>
      </c>
      <c r="G59" s="111">
        <v>12000</v>
      </c>
      <c r="H59" s="112">
        <f t="shared" si="0"/>
        <v>7502.4</v>
      </c>
      <c r="I59" s="113">
        <f t="shared" si="6"/>
        <v>46</v>
      </c>
      <c r="J59" s="108" t="str">
        <f t="shared" si="16"/>
        <v>SHAMPO KECIL</v>
      </c>
      <c r="K59" s="114" t="str">
        <f t="shared" si="8"/>
        <v>Plasma I</v>
      </c>
      <c r="L59" s="115">
        <f t="shared" si="14"/>
        <v>0.31259999999999999</v>
      </c>
      <c r="M59" s="116" t="str">
        <f t="shared" si="17"/>
        <v>BTL</v>
      </c>
      <c r="N59" s="115">
        <f t="shared" si="10"/>
        <v>31999.999999999996</v>
      </c>
      <c r="O59" s="117">
        <f t="shared" si="15"/>
        <v>10003.199999999999</v>
      </c>
      <c r="P59" s="118">
        <f t="shared" si="11"/>
        <v>-2500.7999999999993</v>
      </c>
      <c r="Q59" s="27" t="s">
        <v>320</v>
      </c>
      <c r="R59" s="27"/>
      <c r="S59" s="27"/>
      <c r="T59" s="27"/>
      <c r="U59" s="27"/>
      <c r="V59" s="27"/>
      <c r="W59" s="119"/>
    </row>
    <row r="60" spans="1:23" s="30" customFormat="1" ht="18" x14ac:dyDescent="0.35">
      <c r="A60" s="106">
        <f t="shared" si="13"/>
        <v>47</v>
      </c>
      <c r="B60" s="107" t="s">
        <v>62</v>
      </c>
      <c r="C60" s="107" t="s">
        <v>63</v>
      </c>
      <c r="D60" s="108" t="s">
        <v>151</v>
      </c>
      <c r="E60" s="109">
        <v>0.31259999999999999</v>
      </c>
      <c r="F60" s="110" t="s">
        <v>112</v>
      </c>
      <c r="G60" s="111">
        <v>32000</v>
      </c>
      <c r="H60" s="112">
        <f t="shared" si="0"/>
        <v>10003.199999999999</v>
      </c>
      <c r="I60" s="113">
        <f t="shared" si="6"/>
        <v>47</v>
      </c>
      <c r="J60" s="108" t="str">
        <f t="shared" si="16"/>
        <v>SABUN MANDI</v>
      </c>
      <c r="K60" s="114" t="str">
        <f t="shared" si="8"/>
        <v>Plasma I</v>
      </c>
      <c r="L60" s="115">
        <f t="shared" si="14"/>
        <v>0.31259999999999999</v>
      </c>
      <c r="M60" s="116" t="str">
        <f t="shared" si="17"/>
        <v>BKS</v>
      </c>
      <c r="N60" s="115">
        <f t="shared" si="10"/>
        <v>15999.999999999998</v>
      </c>
      <c r="O60" s="117">
        <f t="shared" si="15"/>
        <v>5001.5999999999995</v>
      </c>
      <c r="P60" s="118">
        <f t="shared" si="11"/>
        <v>5001.5999999999995</v>
      </c>
      <c r="Q60" s="27" t="s">
        <v>320</v>
      </c>
      <c r="R60" s="27"/>
      <c r="S60" s="27"/>
      <c r="T60" s="27"/>
      <c r="U60" s="27"/>
      <c r="V60" s="27"/>
      <c r="W60" s="119"/>
    </row>
    <row r="61" spans="1:23" s="30" customFormat="1" ht="18" x14ac:dyDescent="0.35">
      <c r="A61" s="106">
        <f t="shared" si="13"/>
        <v>48</v>
      </c>
      <c r="B61" s="107" t="s">
        <v>62</v>
      </c>
      <c r="C61" s="107" t="s">
        <v>63</v>
      </c>
      <c r="D61" s="108" t="s">
        <v>152</v>
      </c>
      <c r="E61" s="109">
        <v>0.31259999999999999</v>
      </c>
      <c r="F61" s="110" t="s">
        <v>167</v>
      </c>
      <c r="G61" s="111">
        <v>16000</v>
      </c>
      <c r="H61" s="112">
        <f t="shared" si="0"/>
        <v>5001.5999999999995</v>
      </c>
      <c r="I61" s="113">
        <f t="shared" si="6"/>
        <v>48</v>
      </c>
      <c r="J61" s="108" t="str">
        <f t="shared" si="16"/>
        <v>SAPU LIDI</v>
      </c>
      <c r="K61" s="114" t="str">
        <f t="shared" si="8"/>
        <v>Plasma I</v>
      </c>
      <c r="L61" s="115">
        <f t="shared" si="14"/>
        <v>0.26050000000000001</v>
      </c>
      <c r="M61" s="116" t="str">
        <f t="shared" si="17"/>
        <v>BH</v>
      </c>
      <c r="N61" s="115">
        <f t="shared" si="10"/>
        <v>20000</v>
      </c>
      <c r="O61" s="117">
        <f t="shared" si="15"/>
        <v>5210</v>
      </c>
      <c r="P61" s="118">
        <f t="shared" si="11"/>
        <v>-208.40000000000055</v>
      </c>
      <c r="Q61" s="27" t="s">
        <v>320</v>
      </c>
      <c r="R61" s="27"/>
      <c r="S61" s="27"/>
      <c r="T61" s="27"/>
      <c r="U61" s="27"/>
      <c r="V61" s="27"/>
      <c r="W61" s="119"/>
    </row>
    <row r="62" spans="1:23" s="30" customFormat="1" ht="18" x14ac:dyDescent="0.35">
      <c r="A62" s="106">
        <f t="shared" si="13"/>
        <v>49</v>
      </c>
      <c r="B62" s="107" t="s">
        <v>62</v>
      </c>
      <c r="C62" s="107" t="s">
        <v>63</v>
      </c>
      <c r="D62" s="108" t="s">
        <v>153</v>
      </c>
      <c r="E62" s="109">
        <v>0.26050000000000001</v>
      </c>
      <c r="F62" s="110" t="s">
        <v>166</v>
      </c>
      <c r="G62" s="111">
        <v>20000</v>
      </c>
      <c r="H62" s="112">
        <f t="shared" si="0"/>
        <v>5210</v>
      </c>
      <c r="I62" s="113">
        <f t="shared" si="6"/>
        <v>49</v>
      </c>
      <c r="J62" s="108" t="str">
        <f>D64</f>
        <v>BAYCLIN 1 LTR</v>
      </c>
      <c r="K62" s="114" t="str">
        <f t="shared" si="8"/>
        <v>Plasma I</v>
      </c>
      <c r="L62" s="115">
        <f t="shared" si="14"/>
        <v>0.1042</v>
      </c>
      <c r="M62" s="116" t="str">
        <f>F64</f>
        <v>BTL</v>
      </c>
      <c r="N62" s="115">
        <f t="shared" si="10"/>
        <v>27000</v>
      </c>
      <c r="O62" s="117">
        <f t="shared" si="15"/>
        <v>2813.4</v>
      </c>
      <c r="P62" s="118">
        <f t="shared" si="11"/>
        <v>2396.6</v>
      </c>
      <c r="Q62" s="27" t="s">
        <v>320</v>
      </c>
      <c r="R62" s="27"/>
      <c r="S62" s="27"/>
      <c r="T62" s="27"/>
      <c r="U62" s="27"/>
      <c r="V62" s="27"/>
      <c r="W62" s="119"/>
    </row>
    <row r="63" spans="1:23" s="30" customFormat="1" ht="18" x14ac:dyDescent="0.35">
      <c r="A63" s="106">
        <f t="shared" si="13"/>
        <v>50</v>
      </c>
      <c r="B63" s="107" t="s">
        <v>62</v>
      </c>
      <c r="C63" s="107" t="s">
        <v>63</v>
      </c>
      <c r="D63" s="108" t="s">
        <v>106</v>
      </c>
      <c r="E63" s="109">
        <v>0.1042</v>
      </c>
      <c r="F63" s="110" t="s">
        <v>167</v>
      </c>
      <c r="G63" s="111">
        <v>16000</v>
      </c>
      <c r="H63" s="112">
        <f t="shared" si="0"/>
        <v>1667.2</v>
      </c>
      <c r="I63" s="113">
        <f t="shared" si="6"/>
        <v>50</v>
      </c>
      <c r="J63" s="108" t="str">
        <f>D65</f>
        <v>JAM DINDING MIRADO</v>
      </c>
      <c r="K63" s="114" t="str">
        <f t="shared" si="8"/>
        <v>Plasma I</v>
      </c>
      <c r="L63" s="115">
        <f t="shared" si="14"/>
        <v>5.21E-2</v>
      </c>
      <c r="M63" s="116" t="str">
        <f t="shared" si="9"/>
        <v>BKS</v>
      </c>
      <c r="N63" s="115">
        <f t="shared" si="10"/>
        <v>225000</v>
      </c>
      <c r="O63" s="117">
        <f t="shared" si="15"/>
        <v>11722.5</v>
      </c>
      <c r="P63" s="118">
        <f t="shared" si="11"/>
        <v>-10055.299999999999</v>
      </c>
      <c r="Q63" s="27" t="s">
        <v>320</v>
      </c>
      <c r="R63" s="27"/>
      <c r="S63" s="27"/>
      <c r="T63" s="27"/>
      <c r="U63" s="27"/>
      <c r="V63" s="27"/>
      <c r="W63" s="119"/>
    </row>
    <row r="64" spans="1:23" s="30" customFormat="1" ht="18" x14ac:dyDescent="0.35">
      <c r="A64" s="106">
        <f t="shared" si="13"/>
        <v>51</v>
      </c>
      <c r="B64" s="107" t="s">
        <v>62</v>
      </c>
      <c r="C64" s="107" t="s">
        <v>63</v>
      </c>
      <c r="D64" s="108" t="s">
        <v>154</v>
      </c>
      <c r="E64" s="109">
        <v>0.1042</v>
      </c>
      <c r="F64" s="110" t="s">
        <v>112</v>
      </c>
      <c r="G64" s="111">
        <v>27000</v>
      </c>
      <c r="H64" s="112">
        <f t="shared" si="0"/>
        <v>2813.4</v>
      </c>
      <c r="I64" s="113">
        <f t="shared" si="6"/>
        <v>51</v>
      </c>
      <c r="J64" s="108" t="str">
        <f>D66</f>
        <v>BANTALAN STEMPEL</v>
      </c>
      <c r="K64" s="114" t="str">
        <f t="shared" si="8"/>
        <v>Plasma I</v>
      </c>
      <c r="L64" s="115">
        <f t="shared" si="14"/>
        <v>5.21E-2</v>
      </c>
      <c r="M64" s="116" t="str">
        <f t="shared" si="9"/>
        <v>BTL</v>
      </c>
      <c r="N64" s="115">
        <f t="shared" si="10"/>
        <v>12000</v>
      </c>
      <c r="O64" s="117">
        <f t="shared" si="15"/>
        <v>625.20000000000005</v>
      </c>
      <c r="P64" s="118">
        <f t="shared" si="11"/>
        <v>2188.1999999999998</v>
      </c>
      <c r="Q64" s="27" t="s">
        <v>320</v>
      </c>
      <c r="R64" s="27"/>
      <c r="S64" s="27"/>
      <c r="T64" s="27"/>
      <c r="U64" s="27"/>
      <c r="V64" s="27"/>
      <c r="W64" s="119"/>
    </row>
    <row r="65" spans="1:23" s="30" customFormat="1" ht="18" x14ac:dyDescent="0.35">
      <c r="A65" s="106">
        <f t="shared" si="13"/>
        <v>52</v>
      </c>
      <c r="B65" s="107" t="s">
        <v>62</v>
      </c>
      <c r="C65" s="107" t="s">
        <v>63</v>
      </c>
      <c r="D65" s="108" t="s">
        <v>155</v>
      </c>
      <c r="E65" s="109">
        <v>5.21E-2</v>
      </c>
      <c r="F65" s="110" t="s">
        <v>166</v>
      </c>
      <c r="G65" s="111">
        <v>225000</v>
      </c>
      <c r="H65" s="112">
        <f t="shared" si="0"/>
        <v>11722.5</v>
      </c>
      <c r="I65" s="113">
        <f t="shared" si="6"/>
        <v>52</v>
      </c>
      <c r="J65" s="108" t="str">
        <f>D67</f>
        <v>ALAT PRASMANAN</v>
      </c>
      <c r="K65" s="114" t="str">
        <f t="shared" si="8"/>
        <v>Plasma I</v>
      </c>
      <c r="L65" s="115">
        <f t="shared" si="14"/>
        <v>0.26050000000000001</v>
      </c>
      <c r="M65" s="116" t="str">
        <f t="shared" si="9"/>
        <v>BH</v>
      </c>
      <c r="N65" s="115">
        <f t="shared" si="10"/>
        <v>100000</v>
      </c>
      <c r="O65" s="117">
        <f t="shared" si="15"/>
        <v>26050</v>
      </c>
      <c r="P65" s="118">
        <f t="shared" si="11"/>
        <v>-14327.5</v>
      </c>
      <c r="Q65" s="27" t="s">
        <v>320</v>
      </c>
      <c r="R65" s="27"/>
      <c r="S65" s="27"/>
      <c r="T65" s="27"/>
      <c r="U65" s="27"/>
      <c r="V65" s="27"/>
      <c r="W65" s="119"/>
    </row>
    <row r="66" spans="1:23" s="30" customFormat="1" ht="18" x14ac:dyDescent="0.35">
      <c r="A66" s="106">
        <f t="shared" si="13"/>
        <v>53</v>
      </c>
      <c r="B66" s="107" t="s">
        <v>62</v>
      </c>
      <c r="C66" s="107" t="s">
        <v>63</v>
      </c>
      <c r="D66" s="108" t="s">
        <v>156</v>
      </c>
      <c r="E66" s="109">
        <v>5.21E-2</v>
      </c>
      <c r="F66" s="110" t="s">
        <v>166</v>
      </c>
      <c r="G66" s="111">
        <v>12000</v>
      </c>
      <c r="H66" s="112">
        <f t="shared" si="0"/>
        <v>625.20000000000005</v>
      </c>
      <c r="I66" s="113">
        <f t="shared" si="6"/>
        <v>53</v>
      </c>
      <c r="J66" s="108" t="str">
        <f t="shared" ref="J66:J73" si="18">D69</f>
        <v>DAIA</v>
      </c>
      <c r="K66" s="114" t="str">
        <f t="shared" si="8"/>
        <v>Plasma I</v>
      </c>
      <c r="L66" s="115">
        <f t="shared" si="14"/>
        <v>0.1042</v>
      </c>
      <c r="M66" s="116" t="str">
        <f t="shared" ref="M66:M73" si="19">F69</f>
        <v>PCS</v>
      </c>
      <c r="N66" s="115">
        <f t="shared" si="10"/>
        <v>22000</v>
      </c>
      <c r="O66" s="117">
        <f t="shared" si="15"/>
        <v>2292.4</v>
      </c>
      <c r="P66" s="118">
        <f t="shared" si="11"/>
        <v>-1667.2</v>
      </c>
      <c r="Q66" s="27" t="s">
        <v>320</v>
      </c>
      <c r="R66" s="27"/>
      <c r="S66" s="27"/>
      <c r="T66" s="27"/>
      <c r="U66" s="27"/>
      <c r="V66" s="27"/>
      <c r="W66" s="119"/>
    </row>
    <row r="67" spans="1:23" s="30" customFormat="1" ht="18" x14ac:dyDescent="0.35">
      <c r="A67" s="106">
        <f t="shared" si="13"/>
        <v>54</v>
      </c>
      <c r="B67" s="107" t="s">
        <v>62</v>
      </c>
      <c r="C67" s="107" t="s">
        <v>63</v>
      </c>
      <c r="D67" s="108" t="s">
        <v>157</v>
      </c>
      <c r="E67" s="109">
        <v>0.26050000000000001</v>
      </c>
      <c r="F67" s="110" t="s">
        <v>166</v>
      </c>
      <c r="G67" s="111">
        <v>100000</v>
      </c>
      <c r="H67" s="112">
        <f t="shared" si="0"/>
        <v>26050</v>
      </c>
      <c r="I67" s="113">
        <f t="shared" si="6"/>
        <v>54</v>
      </c>
      <c r="J67" s="108" t="str">
        <f t="shared" si="18"/>
        <v>PLEDGE 1LTR</v>
      </c>
      <c r="K67" s="114" t="str">
        <f t="shared" si="8"/>
        <v>Plasma I</v>
      </c>
      <c r="L67" s="115">
        <f t="shared" si="14"/>
        <v>0.15629999999999999</v>
      </c>
      <c r="M67" s="116" t="str">
        <f t="shared" si="19"/>
        <v>PCS</v>
      </c>
      <c r="N67" s="115">
        <f t="shared" si="10"/>
        <v>45000</v>
      </c>
      <c r="O67" s="117">
        <f t="shared" si="15"/>
        <v>7033.5</v>
      </c>
      <c r="P67" s="118">
        <f t="shared" si="11"/>
        <v>19016.5</v>
      </c>
      <c r="Q67" s="27" t="s">
        <v>320</v>
      </c>
      <c r="R67" s="27"/>
      <c r="S67" s="27"/>
      <c r="T67" s="27"/>
      <c r="U67" s="27"/>
      <c r="V67" s="27"/>
      <c r="W67" s="119"/>
    </row>
    <row r="68" spans="1:23" s="30" customFormat="1" ht="18" x14ac:dyDescent="0.35">
      <c r="A68" s="106">
        <f t="shared" si="13"/>
        <v>55</v>
      </c>
      <c r="B68" s="107" t="s">
        <v>62</v>
      </c>
      <c r="C68" s="107" t="s">
        <v>63</v>
      </c>
      <c r="D68" s="108" t="s">
        <v>106</v>
      </c>
      <c r="E68" s="109">
        <v>0.15629999999999999</v>
      </c>
      <c r="F68" s="110" t="s">
        <v>103</v>
      </c>
      <c r="G68" s="111">
        <v>16000</v>
      </c>
      <c r="H68" s="112">
        <f t="shared" si="0"/>
        <v>2500.7999999999997</v>
      </c>
      <c r="I68" s="113">
        <f t="shared" si="6"/>
        <v>55</v>
      </c>
      <c r="J68" s="108" t="str">
        <f t="shared" si="18"/>
        <v>BAYKLIN 1LTR</v>
      </c>
      <c r="K68" s="114" t="str">
        <f t="shared" si="8"/>
        <v>Plasma I</v>
      </c>
      <c r="L68" s="115">
        <f t="shared" si="14"/>
        <v>0.1042</v>
      </c>
      <c r="M68" s="116" t="str">
        <f t="shared" si="19"/>
        <v>PCS</v>
      </c>
      <c r="N68" s="115">
        <f t="shared" si="10"/>
        <v>27000</v>
      </c>
      <c r="O68" s="117">
        <f t="shared" si="15"/>
        <v>2813.4</v>
      </c>
      <c r="P68" s="118">
        <f>H68-O68</f>
        <v>-312.60000000000036</v>
      </c>
      <c r="Q68" s="27" t="s">
        <v>320</v>
      </c>
      <c r="R68" s="27"/>
      <c r="S68" s="27"/>
      <c r="T68" s="27"/>
      <c r="U68" s="27"/>
      <c r="V68" s="27"/>
      <c r="W68" s="119"/>
    </row>
    <row r="69" spans="1:23" s="30" customFormat="1" ht="18" x14ac:dyDescent="0.35">
      <c r="A69" s="106">
        <f t="shared" si="13"/>
        <v>56</v>
      </c>
      <c r="B69" s="107" t="s">
        <v>62</v>
      </c>
      <c r="C69" s="107" t="s">
        <v>63</v>
      </c>
      <c r="D69" s="108" t="s">
        <v>109</v>
      </c>
      <c r="E69" s="109">
        <v>5.21E-2</v>
      </c>
      <c r="F69" s="110" t="s">
        <v>103</v>
      </c>
      <c r="G69" s="111">
        <v>22000</v>
      </c>
      <c r="H69" s="112">
        <f t="shared" si="0"/>
        <v>1146.2</v>
      </c>
      <c r="I69" s="113">
        <f t="shared" si="6"/>
        <v>56</v>
      </c>
      <c r="J69" s="108" t="str">
        <f t="shared" si="18"/>
        <v>VIXAL</v>
      </c>
      <c r="K69" s="114" t="str">
        <f t="shared" si="8"/>
        <v>Plasma I</v>
      </c>
      <c r="L69" s="115">
        <f t="shared" si="14"/>
        <v>0.31259999999999999</v>
      </c>
      <c r="M69" s="116" t="str">
        <f t="shared" si="19"/>
        <v>PCS</v>
      </c>
      <c r="N69" s="115">
        <f t="shared" si="10"/>
        <v>25000</v>
      </c>
      <c r="O69" s="117">
        <f t="shared" si="15"/>
        <v>7815</v>
      </c>
      <c r="P69" s="118">
        <f>H69-O69</f>
        <v>-6668.8</v>
      </c>
      <c r="Q69" s="27" t="s">
        <v>320</v>
      </c>
      <c r="R69" s="27"/>
      <c r="S69" s="27"/>
      <c r="T69" s="27"/>
      <c r="U69" s="27"/>
      <c r="V69" s="27"/>
      <c r="W69" s="119"/>
    </row>
    <row r="70" spans="1:23" s="30" customFormat="1" ht="18" x14ac:dyDescent="0.35">
      <c r="A70" s="106">
        <f t="shared" si="13"/>
        <v>57</v>
      </c>
      <c r="B70" s="107" t="s">
        <v>62</v>
      </c>
      <c r="C70" s="107" t="s">
        <v>63</v>
      </c>
      <c r="D70" s="108" t="s">
        <v>158</v>
      </c>
      <c r="E70" s="109">
        <v>0.15629999999999999</v>
      </c>
      <c r="F70" s="110" t="s">
        <v>103</v>
      </c>
      <c r="G70" s="111">
        <v>45000</v>
      </c>
      <c r="H70" s="112">
        <f t="shared" si="0"/>
        <v>7033.5</v>
      </c>
      <c r="I70" s="113">
        <f t="shared" si="6"/>
        <v>57</v>
      </c>
      <c r="J70" s="108" t="str">
        <f t="shared" si="18"/>
        <v>TISSU PASEO SMART</v>
      </c>
      <c r="K70" s="114" t="str">
        <f t="shared" si="8"/>
        <v>Plasma I</v>
      </c>
      <c r="L70" s="115">
        <f t="shared" si="14"/>
        <v>0.2084</v>
      </c>
      <c r="M70" s="116" t="str">
        <f t="shared" si="19"/>
        <v>PCS</v>
      </c>
      <c r="N70" s="115">
        <f t="shared" si="10"/>
        <v>12000</v>
      </c>
      <c r="O70" s="117">
        <f t="shared" si="15"/>
        <v>2500.8000000000002</v>
      </c>
      <c r="P70" s="118">
        <f t="shared" si="11"/>
        <v>4532.7</v>
      </c>
      <c r="Q70" s="27" t="s">
        <v>320</v>
      </c>
      <c r="R70" s="27"/>
      <c r="S70" s="27"/>
      <c r="T70" s="27"/>
      <c r="U70" s="27"/>
      <c r="V70" s="27"/>
      <c r="W70" s="119"/>
    </row>
    <row r="71" spans="1:23" s="30" customFormat="1" ht="18" x14ac:dyDescent="0.35">
      <c r="A71" s="106">
        <f t="shared" si="13"/>
        <v>58</v>
      </c>
      <c r="B71" s="107" t="s">
        <v>62</v>
      </c>
      <c r="C71" s="107" t="s">
        <v>63</v>
      </c>
      <c r="D71" s="108" t="s">
        <v>159</v>
      </c>
      <c r="E71" s="109">
        <v>0.1042</v>
      </c>
      <c r="F71" s="110" t="s">
        <v>103</v>
      </c>
      <c r="G71" s="111">
        <v>27000</v>
      </c>
      <c r="H71" s="112">
        <f t="shared" si="0"/>
        <v>2813.4</v>
      </c>
      <c r="I71" s="113">
        <f t="shared" si="6"/>
        <v>58</v>
      </c>
      <c r="J71" s="108" t="str">
        <f t="shared" si="18"/>
        <v>PLASTIK SAMPAH</v>
      </c>
      <c r="K71" s="114" t="str">
        <f t="shared" si="8"/>
        <v>Plasma I</v>
      </c>
      <c r="L71" s="115">
        <f t="shared" si="14"/>
        <v>0.1042</v>
      </c>
      <c r="M71" s="116" t="str">
        <f t="shared" si="19"/>
        <v>PAK</v>
      </c>
      <c r="N71" s="115">
        <f t="shared" si="10"/>
        <v>35000</v>
      </c>
      <c r="O71" s="117">
        <f t="shared" si="15"/>
        <v>3647</v>
      </c>
      <c r="P71" s="118">
        <f t="shared" si="11"/>
        <v>-833.59999999999991</v>
      </c>
      <c r="Q71" s="27" t="s">
        <v>320</v>
      </c>
      <c r="R71" s="27"/>
      <c r="S71" s="27"/>
      <c r="T71" s="27"/>
      <c r="U71" s="27"/>
      <c r="V71" s="27"/>
      <c r="W71" s="119"/>
    </row>
    <row r="72" spans="1:23" s="30" customFormat="1" ht="18" x14ac:dyDescent="0.35">
      <c r="A72" s="106">
        <f t="shared" si="13"/>
        <v>59</v>
      </c>
      <c r="B72" s="107" t="s">
        <v>62</v>
      </c>
      <c r="C72" s="107" t="s">
        <v>63</v>
      </c>
      <c r="D72" s="108" t="s">
        <v>160</v>
      </c>
      <c r="E72" s="109">
        <v>0.1042</v>
      </c>
      <c r="F72" s="110" t="s">
        <v>103</v>
      </c>
      <c r="G72" s="111">
        <v>25000</v>
      </c>
      <c r="H72" s="112">
        <f t="shared" si="0"/>
        <v>2605</v>
      </c>
      <c r="I72" s="113">
        <f t="shared" si="6"/>
        <v>59</v>
      </c>
      <c r="J72" s="108" t="str">
        <f t="shared" si="18"/>
        <v>KAPUR BARUS</v>
      </c>
      <c r="K72" s="114" t="str">
        <f t="shared" si="8"/>
        <v>Plasma I</v>
      </c>
      <c r="L72" s="115">
        <f t="shared" si="14"/>
        <v>0.26050000000000001</v>
      </c>
      <c r="M72" s="116" t="str">
        <f t="shared" si="19"/>
        <v>PCS</v>
      </c>
      <c r="N72" s="115">
        <f t="shared" si="10"/>
        <v>29000</v>
      </c>
      <c r="O72" s="117">
        <f t="shared" si="15"/>
        <v>7554.5</v>
      </c>
      <c r="P72" s="118">
        <f t="shared" si="11"/>
        <v>-4949.5</v>
      </c>
      <c r="Q72" s="27" t="s">
        <v>320</v>
      </c>
      <c r="R72" s="27"/>
      <c r="S72" s="27"/>
      <c r="T72" s="27"/>
      <c r="U72" s="27"/>
      <c r="V72" s="27"/>
      <c r="W72" s="119"/>
    </row>
    <row r="73" spans="1:23" s="30" customFormat="1" ht="18" x14ac:dyDescent="0.35">
      <c r="A73" s="106">
        <f t="shared" si="13"/>
        <v>60</v>
      </c>
      <c r="B73" s="107" t="s">
        <v>62</v>
      </c>
      <c r="C73" s="107" t="s">
        <v>63</v>
      </c>
      <c r="D73" s="108" t="s">
        <v>161</v>
      </c>
      <c r="E73" s="109">
        <v>0.2084</v>
      </c>
      <c r="F73" s="110" t="s">
        <v>103</v>
      </c>
      <c r="G73" s="111">
        <v>12000</v>
      </c>
      <c r="H73" s="112">
        <f t="shared" si="0"/>
        <v>2500.8000000000002</v>
      </c>
      <c r="I73" s="113">
        <f t="shared" si="6"/>
        <v>60</v>
      </c>
      <c r="J73" s="108" t="str">
        <f t="shared" si="18"/>
        <v>WIPOL</v>
      </c>
      <c r="K73" s="114" t="str">
        <f t="shared" si="8"/>
        <v>Plasma I</v>
      </c>
      <c r="L73" s="115">
        <f t="shared" si="14"/>
        <v>0.1042</v>
      </c>
      <c r="M73" s="116" t="str">
        <f t="shared" si="19"/>
        <v>PCS</v>
      </c>
      <c r="N73" s="115">
        <f t="shared" si="10"/>
        <v>37000</v>
      </c>
      <c r="O73" s="117">
        <f t="shared" si="15"/>
        <v>3855.4</v>
      </c>
      <c r="P73" s="118">
        <f t="shared" si="11"/>
        <v>-1354.6</v>
      </c>
      <c r="Q73" s="27" t="s">
        <v>320</v>
      </c>
      <c r="R73" s="27"/>
      <c r="S73" s="27"/>
      <c r="T73" s="27"/>
      <c r="U73" s="27"/>
      <c r="V73" s="27"/>
      <c r="W73" s="119"/>
    </row>
    <row r="74" spans="1:23" s="30" customFormat="1" ht="18" x14ac:dyDescent="0.35">
      <c r="A74" s="106">
        <f t="shared" si="13"/>
        <v>61</v>
      </c>
      <c r="B74" s="107" t="s">
        <v>62</v>
      </c>
      <c r="C74" s="107" t="s">
        <v>63</v>
      </c>
      <c r="D74" s="108" t="s">
        <v>162</v>
      </c>
      <c r="E74" s="109">
        <v>0.1042</v>
      </c>
      <c r="F74" s="110" t="s">
        <v>102</v>
      </c>
      <c r="G74" s="111">
        <v>35000</v>
      </c>
      <c r="H74" s="112">
        <f t="shared" si="0"/>
        <v>3647</v>
      </c>
      <c r="I74" s="113">
        <f t="shared" si="6"/>
        <v>61</v>
      </c>
      <c r="J74" s="108" t="str">
        <f>D79</f>
        <v>MAMA LEMON</v>
      </c>
      <c r="K74" s="114" t="str">
        <f t="shared" si="8"/>
        <v>Plasma I</v>
      </c>
      <c r="L74" s="115">
        <f t="shared" si="14"/>
        <v>5.21E-2</v>
      </c>
      <c r="M74" s="116" t="str">
        <f>F79</f>
        <v>PCS</v>
      </c>
      <c r="N74" s="115">
        <f t="shared" si="10"/>
        <v>15000</v>
      </c>
      <c r="O74" s="117">
        <f t="shared" si="15"/>
        <v>781.5</v>
      </c>
      <c r="P74" s="118">
        <f t="shared" si="11"/>
        <v>2865.5</v>
      </c>
      <c r="Q74" s="27" t="s">
        <v>320</v>
      </c>
      <c r="R74" s="27"/>
      <c r="S74" s="27"/>
      <c r="T74" s="27"/>
      <c r="U74" s="27"/>
      <c r="V74" s="27"/>
      <c r="W74" s="119"/>
    </row>
    <row r="75" spans="1:23" s="30" customFormat="1" ht="18" x14ac:dyDescent="0.35">
      <c r="A75" s="106">
        <f t="shared" si="13"/>
        <v>62</v>
      </c>
      <c r="B75" s="107" t="s">
        <v>62</v>
      </c>
      <c r="C75" s="107" t="s">
        <v>63</v>
      </c>
      <c r="D75" s="108" t="s">
        <v>163</v>
      </c>
      <c r="E75" s="109">
        <v>0.1042</v>
      </c>
      <c r="F75" s="110" t="s">
        <v>103</v>
      </c>
      <c r="G75" s="111">
        <v>29000</v>
      </c>
      <c r="H75" s="112">
        <f t="shared" si="0"/>
        <v>3021.8</v>
      </c>
      <c r="I75" s="113">
        <f t="shared" si="6"/>
        <v>62</v>
      </c>
      <c r="J75" s="108" t="str">
        <f>D80</f>
        <v>HIT SEMPROT</v>
      </c>
      <c r="K75" s="114" t="str">
        <f t="shared" si="8"/>
        <v>Plasma I</v>
      </c>
      <c r="L75" s="115">
        <f t="shared" si="14"/>
        <v>0.2084</v>
      </c>
      <c r="M75" s="116" t="str">
        <f>F80</f>
        <v>PCS</v>
      </c>
      <c r="N75" s="115">
        <f t="shared" si="10"/>
        <v>45000</v>
      </c>
      <c r="O75" s="117">
        <f t="shared" si="15"/>
        <v>9378</v>
      </c>
      <c r="P75" s="118">
        <f t="shared" si="11"/>
        <v>-6356.2</v>
      </c>
      <c r="Q75" s="27" t="s">
        <v>320</v>
      </c>
      <c r="R75" s="27"/>
      <c r="S75" s="27"/>
      <c r="T75" s="27"/>
      <c r="U75" s="27"/>
      <c r="V75" s="27"/>
      <c r="W75" s="119"/>
    </row>
    <row r="76" spans="1:23" s="30" customFormat="1" ht="18" x14ac:dyDescent="0.35">
      <c r="A76" s="106">
        <f t="shared" si="13"/>
        <v>63</v>
      </c>
      <c r="B76" s="107" t="s">
        <v>62</v>
      </c>
      <c r="C76" s="107" t="s">
        <v>63</v>
      </c>
      <c r="D76" s="108" t="s">
        <v>110</v>
      </c>
      <c r="E76" s="109">
        <v>0.1042</v>
      </c>
      <c r="F76" s="110" t="s">
        <v>103</v>
      </c>
      <c r="G76" s="111">
        <v>37000</v>
      </c>
      <c r="H76" s="112">
        <f t="shared" si="0"/>
        <v>3855.4</v>
      </c>
      <c r="I76" s="113">
        <f t="shared" si="6"/>
        <v>63</v>
      </c>
      <c r="J76" s="108" t="str">
        <f>D82</f>
        <v>CLING</v>
      </c>
      <c r="K76" s="114" t="str">
        <f t="shared" si="8"/>
        <v>Plasma I</v>
      </c>
      <c r="L76" s="115">
        <f t="shared" si="14"/>
        <v>0.1042</v>
      </c>
      <c r="M76" s="116" t="str">
        <f>F82</f>
        <v>PCS</v>
      </c>
      <c r="N76" s="115">
        <f t="shared" si="10"/>
        <v>10000</v>
      </c>
      <c r="O76" s="117">
        <f t="shared" si="15"/>
        <v>1042</v>
      </c>
      <c r="P76" s="118">
        <f t="shared" si="11"/>
        <v>2813.4</v>
      </c>
      <c r="Q76" s="27" t="s">
        <v>320</v>
      </c>
      <c r="R76" s="27"/>
      <c r="S76" s="27"/>
      <c r="T76" s="27"/>
      <c r="U76" s="27"/>
      <c r="V76" s="27"/>
      <c r="W76" s="119"/>
    </row>
    <row r="77" spans="1:23" s="30" customFormat="1" ht="18" x14ac:dyDescent="0.35">
      <c r="A77" s="106">
        <f t="shared" si="13"/>
        <v>64</v>
      </c>
      <c r="B77" s="107" t="s">
        <v>62</v>
      </c>
      <c r="C77" s="107" t="s">
        <v>63</v>
      </c>
      <c r="D77" s="108" t="s">
        <v>109</v>
      </c>
      <c r="E77" s="109">
        <v>5.21E-2</v>
      </c>
      <c r="F77" s="110" t="s">
        <v>103</v>
      </c>
      <c r="G77" s="111">
        <v>22000</v>
      </c>
      <c r="H77" s="112">
        <f t="shared" si="0"/>
        <v>1146.2</v>
      </c>
      <c r="I77" s="113">
        <f t="shared" si="6"/>
        <v>64</v>
      </c>
      <c r="J77" s="108" t="str">
        <f>D83</f>
        <v xml:space="preserve">Biaya Perawatan </v>
      </c>
      <c r="K77" s="114" t="str">
        <f t="shared" si="8"/>
        <v>Plasma I</v>
      </c>
      <c r="L77" s="115">
        <f t="shared" si="14"/>
        <v>0</v>
      </c>
      <c r="M77" s="116">
        <f t="shared" ref="M77:M87" si="20">F83</f>
        <v>0</v>
      </c>
      <c r="N77" s="115"/>
      <c r="O77" s="117">
        <f t="shared" si="15"/>
        <v>10482149.04740875</v>
      </c>
      <c r="P77" s="118">
        <f t="shared" si="11"/>
        <v>-10481002.847408751</v>
      </c>
      <c r="Q77" s="27" t="s">
        <v>320</v>
      </c>
      <c r="R77" s="27"/>
      <c r="S77" s="27"/>
      <c r="T77" s="27"/>
      <c r="U77" s="27"/>
      <c r="V77" s="27"/>
      <c r="W77" s="119"/>
    </row>
    <row r="78" spans="1:23" s="30" customFormat="1" ht="18" x14ac:dyDescent="0.35">
      <c r="A78" s="106">
        <f t="shared" si="13"/>
        <v>65</v>
      </c>
      <c r="B78" s="107" t="s">
        <v>62</v>
      </c>
      <c r="C78" s="107" t="s">
        <v>63</v>
      </c>
      <c r="D78" s="108" t="s">
        <v>160</v>
      </c>
      <c r="E78" s="109">
        <v>0.2084</v>
      </c>
      <c r="F78" s="110" t="s">
        <v>103</v>
      </c>
      <c r="G78" s="111">
        <v>25000</v>
      </c>
      <c r="H78" s="112">
        <f t="shared" ref="H78:H82" si="21">+E78*G78</f>
        <v>5210</v>
      </c>
      <c r="I78" s="113">
        <f t="shared" si="6"/>
        <v>65</v>
      </c>
      <c r="J78" s="108" t="str">
        <f t="shared" ref="J78:J87" si="22">D84</f>
        <v>Biaya Produksi</v>
      </c>
      <c r="K78" s="114" t="str">
        <f t="shared" ref="K78:K87" si="23">+B78</f>
        <v>Plasma I</v>
      </c>
      <c r="L78" s="115">
        <f t="shared" ref="L78:L87" si="24">SUMIFS($E$14:$E$166,$D$14:$D$166,J78,$B$14:$B$166,K78)</f>
        <v>0</v>
      </c>
      <c r="M78" s="116">
        <f t="shared" si="20"/>
        <v>0</v>
      </c>
      <c r="N78" s="115"/>
      <c r="O78" s="117">
        <f t="shared" ref="O78:O87" si="25">SUMIFS($H$14:$H$166,$D$14:$D$166,J78,$B$14:$B$166,K78)</f>
        <v>40580442.698656246</v>
      </c>
      <c r="P78" s="118">
        <f t="shared" si="11"/>
        <v>-40575232.698656246</v>
      </c>
      <c r="Q78" s="27" t="s">
        <v>320</v>
      </c>
      <c r="R78" s="27"/>
      <c r="S78" s="27"/>
      <c r="T78" s="27"/>
      <c r="U78" s="27"/>
      <c r="V78" s="27"/>
      <c r="W78" s="119"/>
    </row>
    <row r="79" spans="1:23" s="30" customFormat="1" ht="18" x14ac:dyDescent="0.35">
      <c r="A79" s="106">
        <f t="shared" si="13"/>
        <v>66</v>
      </c>
      <c r="B79" s="107" t="s">
        <v>62</v>
      </c>
      <c r="C79" s="107" t="s">
        <v>63</v>
      </c>
      <c r="D79" s="108" t="s">
        <v>111</v>
      </c>
      <c r="E79" s="109">
        <v>5.21E-2</v>
      </c>
      <c r="F79" s="110" t="s">
        <v>103</v>
      </c>
      <c r="G79" s="111">
        <v>15000</v>
      </c>
      <c r="H79" s="112">
        <f t="shared" si="21"/>
        <v>781.5</v>
      </c>
      <c r="I79" s="113">
        <f t="shared" ref="I79:I87" si="26">A79</f>
        <v>66</v>
      </c>
      <c r="J79" s="108" t="str">
        <f t="shared" si="22"/>
        <v>Share Biaya Pemeliharaan Kendaraan</v>
      </c>
      <c r="K79" s="114" t="str">
        <f t="shared" si="23"/>
        <v>Plasma I</v>
      </c>
      <c r="L79" s="115">
        <f t="shared" si="24"/>
        <v>0</v>
      </c>
      <c r="M79" s="116">
        <f t="shared" si="20"/>
        <v>0</v>
      </c>
      <c r="N79" s="115"/>
      <c r="O79" s="117">
        <f t="shared" si="25"/>
        <v>3887291.2895771665</v>
      </c>
      <c r="P79" s="118">
        <f t="shared" ref="P79:P92" si="27">H79-O79</f>
        <v>-3886509.7895771665</v>
      </c>
      <c r="Q79" s="27" t="s">
        <v>320</v>
      </c>
      <c r="R79" s="27"/>
      <c r="S79" s="27"/>
      <c r="T79" s="27"/>
      <c r="U79" s="27"/>
      <c r="V79" s="27"/>
      <c r="W79" s="119"/>
    </row>
    <row r="80" spans="1:23" s="30" customFormat="1" ht="18" x14ac:dyDescent="0.35">
      <c r="A80" s="106">
        <f t="shared" si="13"/>
        <v>67</v>
      </c>
      <c r="B80" s="107" t="s">
        <v>62</v>
      </c>
      <c r="C80" s="107" t="s">
        <v>63</v>
      </c>
      <c r="D80" s="108" t="s">
        <v>164</v>
      </c>
      <c r="E80" s="109">
        <v>0.2084</v>
      </c>
      <c r="F80" s="110" t="s">
        <v>103</v>
      </c>
      <c r="G80" s="111">
        <v>45000</v>
      </c>
      <c r="H80" s="112">
        <f t="shared" si="21"/>
        <v>9378</v>
      </c>
      <c r="I80" s="113">
        <f t="shared" si="26"/>
        <v>67</v>
      </c>
      <c r="J80" s="108" t="str">
        <f t="shared" si="22"/>
        <v>Share Biaya Mesin &amp; Instalasi</v>
      </c>
      <c r="K80" s="114" t="str">
        <f t="shared" si="23"/>
        <v>Plasma I</v>
      </c>
      <c r="L80" s="115">
        <f t="shared" si="24"/>
        <v>0</v>
      </c>
      <c r="M80" s="116">
        <f t="shared" si="20"/>
        <v>0</v>
      </c>
      <c r="N80" s="115"/>
      <c r="O80" s="117">
        <f t="shared" si="25"/>
        <v>7202180.2807228584</v>
      </c>
      <c r="P80" s="118">
        <f t="shared" si="27"/>
        <v>-7192802.2807228584</v>
      </c>
      <c r="Q80" s="27" t="s">
        <v>320</v>
      </c>
      <c r="R80" s="27"/>
      <c r="S80" s="27"/>
      <c r="T80" s="27"/>
      <c r="U80" s="27"/>
      <c r="V80" s="27"/>
      <c r="W80" s="119"/>
    </row>
    <row r="81" spans="1:23" s="30" customFormat="1" ht="18" x14ac:dyDescent="0.35">
      <c r="A81" s="106">
        <f t="shared" si="13"/>
        <v>68</v>
      </c>
      <c r="B81" s="107" t="s">
        <v>62</v>
      </c>
      <c r="C81" s="107" t="s">
        <v>63</v>
      </c>
      <c r="D81" s="108" t="s">
        <v>163</v>
      </c>
      <c r="E81" s="109">
        <v>0.15629999999999999</v>
      </c>
      <c r="F81" s="110" t="s">
        <v>103</v>
      </c>
      <c r="G81" s="111">
        <v>29000</v>
      </c>
      <c r="H81" s="112">
        <f t="shared" si="21"/>
        <v>4532.7</v>
      </c>
      <c r="I81" s="113">
        <f t="shared" si="26"/>
        <v>68</v>
      </c>
      <c r="J81" s="108" t="str">
        <f t="shared" si="22"/>
        <v>Share Biaya Pemeliharaan Bangunan</v>
      </c>
      <c r="K81" s="114" t="str">
        <f t="shared" si="23"/>
        <v>Plasma I</v>
      </c>
      <c r="L81" s="115">
        <f t="shared" si="24"/>
        <v>0</v>
      </c>
      <c r="M81" s="116">
        <f t="shared" si="20"/>
        <v>0</v>
      </c>
      <c r="N81" s="115"/>
      <c r="O81" s="117">
        <f t="shared" si="25"/>
        <v>2036528.4763854239</v>
      </c>
      <c r="P81" s="118">
        <f t="shared" si="27"/>
        <v>-2031995.776385424</v>
      </c>
      <c r="Q81" s="27" t="s">
        <v>320</v>
      </c>
      <c r="R81" s="27"/>
      <c r="S81" s="27"/>
      <c r="T81" s="27"/>
      <c r="U81" s="27"/>
      <c r="V81" s="27"/>
      <c r="W81" s="119"/>
    </row>
    <row r="82" spans="1:23" s="30" customFormat="1" ht="18" x14ac:dyDescent="0.35">
      <c r="A82" s="106">
        <f t="shared" si="13"/>
        <v>69</v>
      </c>
      <c r="B82" s="107" t="s">
        <v>62</v>
      </c>
      <c r="C82" s="107" t="s">
        <v>63</v>
      </c>
      <c r="D82" s="108" t="s">
        <v>165</v>
      </c>
      <c r="E82" s="109">
        <v>0.1042</v>
      </c>
      <c r="F82" s="110" t="s">
        <v>103</v>
      </c>
      <c r="G82" s="111">
        <v>10000</v>
      </c>
      <c r="H82" s="112">
        <f t="shared" si="21"/>
        <v>1042</v>
      </c>
      <c r="I82" s="113">
        <f t="shared" si="26"/>
        <v>69</v>
      </c>
      <c r="J82" s="108" t="str">
        <f t="shared" si="22"/>
        <v>Share Biaya Kantor Kebun &amp; Lembur</v>
      </c>
      <c r="K82" s="114" t="str">
        <f t="shared" si="23"/>
        <v>Plasma I</v>
      </c>
      <c r="L82" s="115">
        <f t="shared" si="24"/>
        <v>0</v>
      </c>
      <c r="M82" s="116">
        <f t="shared" si="20"/>
        <v>0</v>
      </c>
      <c r="N82" s="115"/>
      <c r="O82" s="117">
        <f t="shared" si="25"/>
        <v>2061194.4753999999</v>
      </c>
      <c r="P82" s="118">
        <f t="shared" si="27"/>
        <v>-2060152.4753999999</v>
      </c>
      <c r="Q82" s="27" t="s">
        <v>320</v>
      </c>
      <c r="R82" s="27"/>
      <c r="S82" s="27"/>
      <c r="T82" s="27"/>
      <c r="U82" s="27"/>
      <c r="V82" s="27"/>
      <c r="W82" s="119"/>
    </row>
    <row r="83" spans="1:23" s="30" customFormat="1" ht="18" x14ac:dyDescent="0.35">
      <c r="A83" s="106">
        <f t="shared" si="13"/>
        <v>70</v>
      </c>
      <c r="B83" s="107" t="s">
        <v>62</v>
      </c>
      <c r="C83" s="121" t="s">
        <v>64</v>
      </c>
      <c r="D83" s="108" t="s">
        <v>75</v>
      </c>
      <c r="E83" s="109"/>
      <c r="F83" s="110"/>
      <c r="G83" s="111"/>
      <c r="H83" s="180">
        <v>10482149.04740875</v>
      </c>
      <c r="I83" s="113">
        <f t="shared" si="26"/>
        <v>70</v>
      </c>
      <c r="J83" s="108" t="str">
        <f t="shared" si="22"/>
        <v>Biaya Umum Traksi</v>
      </c>
      <c r="K83" s="114" t="str">
        <f t="shared" si="23"/>
        <v>Plasma I</v>
      </c>
      <c r="L83" s="115">
        <f t="shared" si="24"/>
        <v>0</v>
      </c>
      <c r="M83" s="116">
        <f t="shared" si="20"/>
        <v>0</v>
      </c>
      <c r="N83" s="115"/>
      <c r="O83" s="117">
        <f t="shared" si="25"/>
        <v>6617620</v>
      </c>
      <c r="P83" s="118">
        <f t="shared" si="27"/>
        <v>3864529.0474087503</v>
      </c>
      <c r="Q83" s="27" t="s">
        <v>318</v>
      </c>
      <c r="R83" s="27"/>
      <c r="S83" s="27"/>
      <c r="T83" s="27"/>
      <c r="U83" s="27"/>
      <c r="V83" s="27"/>
      <c r="W83" s="29"/>
    </row>
    <row r="84" spans="1:23" s="30" customFormat="1" ht="18" x14ac:dyDescent="0.35">
      <c r="A84" s="106">
        <f t="shared" si="13"/>
        <v>71</v>
      </c>
      <c r="B84" s="107" t="s">
        <v>62</v>
      </c>
      <c r="C84" s="121" t="s">
        <v>64</v>
      </c>
      <c r="D84" s="108" t="s">
        <v>23</v>
      </c>
      <c r="E84" s="109"/>
      <c r="F84" s="110"/>
      <c r="G84" s="111"/>
      <c r="H84" s="180">
        <v>40580442.698656246</v>
      </c>
      <c r="I84" s="113">
        <f t="shared" si="26"/>
        <v>71</v>
      </c>
      <c r="J84" s="108" t="str">
        <f t="shared" si="22"/>
        <v>Biaya Umum (Premi &amp; Lembur)</v>
      </c>
      <c r="K84" s="114" t="str">
        <f t="shared" si="23"/>
        <v>Plasma I</v>
      </c>
      <c r="L84" s="115">
        <f t="shared" si="24"/>
        <v>0</v>
      </c>
      <c r="M84" s="116">
        <f t="shared" si="20"/>
        <v>0</v>
      </c>
      <c r="N84" s="115"/>
      <c r="O84" s="117">
        <f t="shared" si="25"/>
        <v>2922595.621028</v>
      </c>
      <c r="P84" s="118">
        <f t="shared" si="27"/>
        <v>37657847.077628247</v>
      </c>
      <c r="Q84" s="27" t="s">
        <v>318</v>
      </c>
      <c r="R84" s="27"/>
      <c r="S84" s="27"/>
      <c r="T84" s="27"/>
      <c r="U84" s="27"/>
      <c r="V84" s="27"/>
      <c r="W84" s="29"/>
    </row>
    <row r="85" spans="1:23" s="30" customFormat="1" ht="18" x14ac:dyDescent="0.35">
      <c r="A85" s="106">
        <f t="shared" ref="A85" si="28">A84+1</f>
        <v>72</v>
      </c>
      <c r="B85" s="107" t="s">
        <v>62</v>
      </c>
      <c r="C85" s="121" t="s">
        <v>89</v>
      </c>
      <c r="D85" s="108" t="s">
        <v>76</v>
      </c>
      <c r="E85" s="109"/>
      <c r="F85" s="110"/>
      <c r="G85" s="111"/>
      <c r="H85" s="180">
        <v>3887291.2895771665</v>
      </c>
      <c r="I85" s="113">
        <f t="shared" si="26"/>
        <v>72</v>
      </c>
      <c r="J85" s="108" t="str">
        <f t="shared" si="22"/>
        <v>Share Biaya Sosial</v>
      </c>
      <c r="K85" s="114" t="str">
        <f t="shared" si="23"/>
        <v>Plasma I</v>
      </c>
      <c r="L85" s="115">
        <f t="shared" si="24"/>
        <v>0</v>
      </c>
      <c r="M85" s="116">
        <f t="shared" si="20"/>
        <v>0</v>
      </c>
      <c r="N85" s="115"/>
      <c r="O85" s="117">
        <f t="shared" si="25"/>
        <v>563898.72320000001</v>
      </c>
      <c r="P85" s="118">
        <f t="shared" si="27"/>
        <v>3323392.5663771667</v>
      </c>
      <c r="Q85" s="27" t="s">
        <v>320</v>
      </c>
      <c r="R85" s="27"/>
      <c r="S85" s="27"/>
      <c r="T85" s="27"/>
      <c r="U85" s="27"/>
      <c r="V85" s="27"/>
      <c r="W85" s="119"/>
    </row>
    <row r="86" spans="1:23" s="30" customFormat="1" ht="18" x14ac:dyDescent="0.35">
      <c r="A86" s="106">
        <f t="shared" ref="A86:A87" si="29">A85+1</f>
        <v>73</v>
      </c>
      <c r="B86" s="107" t="s">
        <v>62</v>
      </c>
      <c r="C86" s="121" t="s">
        <v>89</v>
      </c>
      <c r="D86" s="108" t="s">
        <v>77</v>
      </c>
      <c r="E86" s="109"/>
      <c r="F86" s="110"/>
      <c r="G86" s="120"/>
      <c r="H86" s="180">
        <v>7202180.2807228584</v>
      </c>
      <c r="I86" s="113">
        <f t="shared" si="26"/>
        <v>73</v>
      </c>
      <c r="J86" s="108" t="str">
        <f t="shared" si="22"/>
        <v>Share Biaya Gaji Karyawan</v>
      </c>
      <c r="K86" s="114" t="str">
        <f t="shared" si="23"/>
        <v>Plasma I</v>
      </c>
      <c r="L86" s="115">
        <f t="shared" si="24"/>
        <v>0</v>
      </c>
      <c r="M86" s="116">
        <f t="shared" si="20"/>
        <v>0</v>
      </c>
      <c r="N86" s="115"/>
      <c r="O86" s="117">
        <f t="shared" si="25"/>
        <v>33648936.576833963</v>
      </c>
      <c r="P86" s="118">
        <f t="shared" si="27"/>
        <v>-26446756.296111107</v>
      </c>
      <c r="Q86" s="27" t="s">
        <v>320</v>
      </c>
      <c r="R86" s="27"/>
      <c r="S86" s="27"/>
      <c r="T86" s="27"/>
      <c r="U86" s="27"/>
      <c r="V86" s="27"/>
      <c r="W86" s="119"/>
    </row>
    <row r="87" spans="1:23" s="30" customFormat="1" ht="18" x14ac:dyDescent="0.35">
      <c r="A87" s="106">
        <f t="shared" si="29"/>
        <v>74</v>
      </c>
      <c r="B87" s="107" t="s">
        <v>62</v>
      </c>
      <c r="C87" s="121" t="s">
        <v>89</v>
      </c>
      <c r="D87" s="108" t="s">
        <v>78</v>
      </c>
      <c r="E87" s="109"/>
      <c r="F87" s="110"/>
      <c r="G87" s="120"/>
      <c r="H87" s="180">
        <v>2036528.4763854239</v>
      </c>
      <c r="I87" s="113">
        <f t="shared" si="26"/>
        <v>74</v>
      </c>
      <c r="J87" s="108" t="str">
        <f t="shared" si="22"/>
        <v>Angkutan TBS</v>
      </c>
      <c r="K87" s="114" t="str">
        <f t="shared" si="23"/>
        <v>Plasma I</v>
      </c>
      <c r="L87" s="115">
        <f t="shared" si="24"/>
        <v>219430</v>
      </c>
      <c r="M87" s="116" t="str">
        <f t="shared" si="20"/>
        <v>Kg</v>
      </c>
      <c r="N87" s="115">
        <f t="shared" ref="N87" si="30">O87/L87</f>
        <v>107.76283033313585</v>
      </c>
      <c r="O87" s="117">
        <f t="shared" si="25"/>
        <v>23646397.859999999</v>
      </c>
      <c r="P87" s="118">
        <f t="shared" si="27"/>
        <v>-21609869.383614577</v>
      </c>
      <c r="Q87" s="27" t="s">
        <v>320</v>
      </c>
      <c r="R87" s="27"/>
      <c r="S87" s="27"/>
      <c r="T87" s="27"/>
      <c r="U87" s="27"/>
      <c r="V87" s="27"/>
      <c r="W87" s="119"/>
    </row>
    <row r="88" spans="1:23" s="30" customFormat="1" ht="18" x14ac:dyDescent="0.35">
      <c r="A88" s="106">
        <f t="shared" ref="A88:A96" si="31">A87+1</f>
        <v>75</v>
      </c>
      <c r="B88" s="107" t="s">
        <v>62</v>
      </c>
      <c r="C88" s="121" t="s">
        <v>89</v>
      </c>
      <c r="D88" s="108" t="s">
        <v>79</v>
      </c>
      <c r="E88" s="109"/>
      <c r="F88" s="110"/>
      <c r="G88" s="120"/>
      <c r="H88" s="180">
        <v>2061194.4753999999</v>
      </c>
      <c r="I88" s="113"/>
      <c r="J88" s="108"/>
      <c r="K88" s="114"/>
      <c r="L88" s="115"/>
      <c r="M88" s="116"/>
      <c r="N88" s="115"/>
      <c r="O88" s="117"/>
      <c r="P88" s="118">
        <f t="shared" si="27"/>
        <v>2061194.4753999999</v>
      </c>
      <c r="Q88" s="27" t="s">
        <v>320</v>
      </c>
      <c r="R88" s="27"/>
      <c r="S88" s="27"/>
      <c r="T88" s="27"/>
      <c r="U88" s="27"/>
      <c r="V88" s="27"/>
      <c r="W88" s="119"/>
    </row>
    <row r="89" spans="1:23" s="30" customFormat="1" ht="18" x14ac:dyDescent="0.35">
      <c r="A89" s="106">
        <f t="shared" si="31"/>
        <v>76</v>
      </c>
      <c r="B89" s="107" t="s">
        <v>62</v>
      </c>
      <c r="C89" s="121" t="s">
        <v>89</v>
      </c>
      <c r="D89" s="108" t="s">
        <v>80</v>
      </c>
      <c r="E89" s="109"/>
      <c r="F89" s="110"/>
      <c r="G89" s="120"/>
      <c r="H89" s="181">
        <v>6617620</v>
      </c>
      <c r="I89" s="113"/>
      <c r="J89" s="108"/>
      <c r="K89" s="114"/>
      <c r="L89" s="115"/>
      <c r="M89" s="116"/>
      <c r="N89" s="115"/>
      <c r="O89" s="117"/>
      <c r="P89" s="118">
        <f t="shared" si="27"/>
        <v>6617620</v>
      </c>
      <c r="Q89" s="27" t="s">
        <v>320</v>
      </c>
      <c r="R89" s="27"/>
      <c r="S89" s="27"/>
      <c r="T89" s="27"/>
      <c r="U89" s="27"/>
      <c r="V89" s="27"/>
      <c r="W89" s="119"/>
    </row>
    <row r="90" spans="1:23" s="30" customFormat="1" ht="18" x14ac:dyDescent="0.35">
      <c r="A90" s="106">
        <f t="shared" si="31"/>
        <v>77</v>
      </c>
      <c r="B90" s="107" t="s">
        <v>62</v>
      </c>
      <c r="C90" s="121" t="s">
        <v>89</v>
      </c>
      <c r="D90" s="108" t="s">
        <v>30</v>
      </c>
      <c r="E90" s="109"/>
      <c r="F90" s="110"/>
      <c r="G90" s="120"/>
      <c r="H90" s="182">
        <v>2922595.621028</v>
      </c>
      <c r="I90" s="113"/>
      <c r="J90" s="108"/>
      <c r="K90" s="114"/>
      <c r="L90" s="115"/>
      <c r="M90" s="116"/>
      <c r="N90" s="115"/>
      <c r="O90" s="117"/>
      <c r="P90" s="118">
        <f t="shared" si="27"/>
        <v>2922595.621028</v>
      </c>
      <c r="Q90" s="27" t="s">
        <v>318</v>
      </c>
      <c r="R90" s="27"/>
      <c r="S90" s="27"/>
      <c r="T90" s="27"/>
      <c r="U90" s="27"/>
      <c r="V90" s="27"/>
      <c r="W90" s="119"/>
    </row>
    <row r="91" spans="1:23" s="30" customFormat="1" ht="18" x14ac:dyDescent="0.35">
      <c r="A91" s="106">
        <f t="shared" si="31"/>
        <v>78</v>
      </c>
      <c r="B91" s="107" t="s">
        <v>62</v>
      </c>
      <c r="C91" s="121" t="s">
        <v>89</v>
      </c>
      <c r="D91" s="108" t="s">
        <v>81</v>
      </c>
      <c r="E91" s="109"/>
      <c r="F91" s="110"/>
      <c r="G91" s="120"/>
      <c r="H91" s="182">
        <v>563898.72320000001</v>
      </c>
      <c r="I91" s="113"/>
      <c r="J91" s="108"/>
      <c r="K91" s="114"/>
      <c r="L91" s="115"/>
      <c r="M91" s="116"/>
      <c r="N91" s="115"/>
      <c r="O91" s="117"/>
      <c r="P91" s="118">
        <f t="shared" si="27"/>
        <v>563898.72320000001</v>
      </c>
      <c r="Q91" s="27" t="s">
        <v>320</v>
      </c>
      <c r="R91" s="27"/>
      <c r="S91" s="27"/>
      <c r="T91" s="27"/>
      <c r="U91" s="27"/>
      <c r="V91" s="27"/>
      <c r="W91" s="119"/>
    </row>
    <row r="92" spans="1:23" s="30" customFormat="1" ht="18" x14ac:dyDescent="0.35">
      <c r="A92" s="106">
        <f t="shared" si="31"/>
        <v>79</v>
      </c>
      <c r="B92" s="107" t="s">
        <v>62</v>
      </c>
      <c r="C92" s="121" t="s">
        <v>89</v>
      </c>
      <c r="D92" s="108" t="s">
        <v>82</v>
      </c>
      <c r="E92" s="109"/>
      <c r="F92" s="110"/>
      <c r="G92" s="120"/>
      <c r="H92" s="182">
        <v>33648936.576833963</v>
      </c>
      <c r="I92" s="113"/>
      <c r="J92" s="108"/>
      <c r="K92" s="114"/>
      <c r="L92" s="115"/>
      <c r="M92" s="116"/>
      <c r="N92" s="115"/>
      <c r="O92" s="117"/>
      <c r="P92" s="118">
        <f t="shared" si="27"/>
        <v>33648936.576833963</v>
      </c>
      <c r="Q92" s="27" t="s">
        <v>318</v>
      </c>
      <c r="R92" s="27"/>
      <c r="S92" s="27"/>
      <c r="T92" s="27"/>
      <c r="U92" s="27"/>
      <c r="V92" s="27"/>
      <c r="W92" s="119"/>
    </row>
    <row r="93" spans="1:23" s="30" customFormat="1" ht="18" x14ac:dyDescent="0.35">
      <c r="A93" s="106">
        <f t="shared" si="31"/>
        <v>80</v>
      </c>
      <c r="B93" s="107" t="s">
        <v>62</v>
      </c>
      <c r="C93" s="121" t="s">
        <v>49</v>
      </c>
      <c r="D93" s="108" t="s">
        <v>28</v>
      </c>
      <c r="E93" s="109">
        <v>219430</v>
      </c>
      <c r="F93" s="110" t="s">
        <v>24</v>
      </c>
      <c r="G93" s="111">
        <f t="shared" ref="G93:G94" si="32">+H93/E93</f>
        <v>107.76283033313585</v>
      </c>
      <c r="H93" s="182">
        <v>23646397.859999999</v>
      </c>
      <c r="I93" s="113"/>
      <c r="J93" s="108"/>
      <c r="K93" s="114"/>
      <c r="L93" s="115"/>
      <c r="M93" s="116"/>
      <c r="N93" s="115"/>
      <c r="O93" s="117"/>
      <c r="P93" s="118"/>
      <c r="Q93" s="27" t="s">
        <v>322</v>
      </c>
      <c r="R93" s="27"/>
      <c r="S93" s="27"/>
      <c r="T93" s="27"/>
      <c r="U93" s="27"/>
      <c r="V93" s="27"/>
      <c r="W93" s="119"/>
    </row>
    <row r="94" spans="1:23" s="30" customFormat="1" ht="18" x14ac:dyDescent="0.35">
      <c r="A94" s="106">
        <f t="shared" si="31"/>
        <v>81</v>
      </c>
      <c r="B94" s="107" t="s">
        <v>62</v>
      </c>
      <c r="C94" s="121" t="s">
        <v>49</v>
      </c>
      <c r="D94" s="108" t="s">
        <v>93</v>
      </c>
      <c r="E94" s="109">
        <v>10000</v>
      </c>
      <c r="F94" s="110" t="s">
        <v>24</v>
      </c>
      <c r="G94" s="111">
        <f t="shared" si="32"/>
        <v>69.667383103562926</v>
      </c>
      <c r="H94" s="182">
        <v>696673.83103562926</v>
      </c>
      <c r="I94" s="113"/>
      <c r="J94" s="108"/>
      <c r="K94" s="114"/>
      <c r="L94" s="115"/>
      <c r="M94" s="116"/>
      <c r="N94" s="115"/>
      <c r="O94" s="117"/>
      <c r="P94" s="118"/>
      <c r="Q94" s="27" t="s">
        <v>320</v>
      </c>
      <c r="R94" s="27"/>
      <c r="S94" s="27"/>
      <c r="T94" s="27"/>
      <c r="U94" s="27"/>
      <c r="V94" s="27"/>
      <c r="W94" s="119"/>
    </row>
    <row r="95" spans="1:23" s="30" customFormat="1" ht="18" x14ac:dyDescent="0.35">
      <c r="A95" s="106">
        <f t="shared" si="31"/>
        <v>82</v>
      </c>
      <c r="B95" s="107" t="s">
        <v>62</v>
      </c>
      <c r="C95" s="121" t="s">
        <v>49</v>
      </c>
      <c r="D95" s="108" t="s">
        <v>168</v>
      </c>
      <c r="E95" s="109">
        <v>3000</v>
      </c>
      <c r="F95" s="110" t="s">
        <v>24</v>
      </c>
      <c r="G95" s="111">
        <f t="shared" ref="G95:G96" si="33">+H95/E95</f>
        <v>69.667383103562912</v>
      </c>
      <c r="H95" s="182">
        <v>209002.14931068875</v>
      </c>
      <c r="I95" s="113"/>
      <c r="J95" s="108"/>
      <c r="K95" s="114"/>
      <c r="L95" s="115"/>
      <c r="M95" s="116"/>
      <c r="N95" s="115"/>
      <c r="O95" s="117"/>
      <c r="P95" s="118"/>
      <c r="Q95" s="27" t="s">
        <v>320</v>
      </c>
      <c r="R95" s="27"/>
      <c r="S95" s="27"/>
      <c r="T95" s="27"/>
      <c r="U95" s="27"/>
      <c r="V95" s="27"/>
      <c r="W95" s="119"/>
    </row>
    <row r="96" spans="1:23" s="30" customFormat="1" ht="18" x14ac:dyDescent="0.35">
      <c r="A96" s="106">
        <f t="shared" si="31"/>
        <v>83</v>
      </c>
      <c r="B96" s="107" t="s">
        <v>62</v>
      </c>
      <c r="C96" s="121" t="s">
        <v>97</v>
      </c>
      <c r="D96" s="108" t="s">
        <v>98</v>
      </c>
      <c r="E96" s="109">
        <v>3000</v>
      </c>
      <c r="F96" s="110" t="s">
        <v>24</v>
      </c>
      <c r="G96" s="111">
        <f t="shared" si="33"/>
        <v>26.376091083219332</v>
      </c>
      <c r="H96" s="182">
        <v>79128.273249657999</v>
      </c>
      <c r="I96" s="113"/>
      <c r="J96" s="108"/>
      <c r="K96" s="114"/>
      <c r="L96" s="115"/>
      <c r="M96" s="116"/>
      <c r="N96" s="115"/>
      <c r="O96" s="117"/>
      <c r="P96" s="118"/>
      <c r="Q96" s="27" t="s">
        <v>320</v>
      </c>
      <c r="R96" s="27"/>
      <c r="S96" s="27"/>
      <c r="T96" s="27"/>
      <c r="U96" s="27"/>
      <c r="V96" s="27"/>
      <c r="W96" s="119"/>
    </row>
    <row r="97" spans="1:23" s="30" customFormat="1" ht="18" x14ac:dyDescent="0.35">
      <c r="A97" s="106">
        <f>A96+1</f>
        <v>84</v>
      </c>
      <c r="B97" s="107" t="s">
        <v>62</v>
      </c>
      <c r="C97" s="121" t="s">
        <v>97</v>
      </c>
      <c r="D97" s="108" t="s">
        <v>169</v>
      </c>
      <c r="E97" s="109">
        <v>132500</v>
      </c>
      <c r="F97" s="110" t="s">
        <v>24</v>
      </c>
      <c r="G97" s="111">
        <f>+H97/E97</f>
        <v>23.921644346622209</v>
      </c>
      <c r="H97" s="182">
        <v>3169617.8759274427</v>
      </c>
      <c r="I97" s="113"/>
      <c r="J97" s="108"/>
      <c r="K97" s="114"/>
      <c r="L97" s="115"/>
      <c r="M97" s="116"/>
      <c r="N97" s="115"/>
      <c r="O97" s="117"/>
      <c r="P97" s="118"/>
      <c r="Q97" s="27" t="s">
        <v>320</v>
      </c>
      <c r="R97" s="27"/>
      <c r="S97" s="27"/>
      <c r="T97" s="27"/>
      <c r="U97" s="27"/>
      <c r="V97" s="27"/>
      <c r="W97" s="119"/>
    </row>
    <row r="98" spans="1:23" s="30" customFormat="1" ht="18" x14ac:dyDescent="0.35">
      <c r="A98" s="106">
        <f t="shared" ref="A98:A112" si="34">A97+1</f>
        <v>85</v>
      </c>
      <c r="B98" s="107" t="s">
        <v>62</v>
      </c>
      <c r="C98" s="121" t="s">
        <v>97</v>
      </c>
      <c r="D98" s="108" t="s">
        <v>86</v>
      </c>
      <c r="E98" s="109">
        <v>213000</v>
      </c>
      <c r="F98" s="110" t="s">
        <v>24</v>
      </c>
      <c r="G98" s="111">
        <f t="shared" ref="G98:G112" si="35">+H98/E98</f>
        <v>20.932465340764448</v>
      </c>
      <c r="H98" s="120">
        <v>4458615.1175828278</v>
      </c>
      <c r="I98" s="113"/>
      <c r="J98" s="108"/>
      <c r="K98" s="114"/>
      <c r="L98" s="115"/>
      <c r="M98" s="116"/>
      <c r="N98" s="115"/>
      <c r="O98" s="117"/>
      <c r="P98" s="118"/>
      <c r="Q98" s="27" t="s">
        <v>320</v>
      </c>
      <c r="R98" s="27"/>
      <c r="S98" s="27"/>
      <c r="T98" s="27"/>
      <c r="U98" s="27"/>
      <c r="V98" s="27"/>
      <c r="W98" s="119"/>
    </row>
    <row r="99" spans="1:23" s="30" customFormat="1" ht="18" x14ac:dyDescent="0.35">
      <c r="A99" s="106">
        <f t="shared" si="34"/>
        <v>86</v>
      </c>
      <c r="B99" s="107" t="s">
        <v>62</v>
      </c>
      <c r="C99" s="121" t="s">
        <v>97</v>
      </c>
      <c r="D99" s="108" t="s">
        <v>95</v>
      </c>
      <c r="E99" s="109">
        <v>4000</v>
      </c>
      <c r="F99" s="110" t="s">
        <v>24</v>
      </c>
      <c r="G99" s="111">
        <f t="shared" si="35"/>
        <v>32.538870488990483</v>
      </c>
      <c r="H99" s="120">
        <v>130155.48195596192</v>
      </c>
      <c r="I99" s="113"/>
      <c r="J99" s="108"/>
      <c r="K99" s="114"/>
      <c r="L99" s="115"/>
      <c r="M99" s="116"/>
      <c r="N99" s="115"/>
      <c r="O99" s="117"/>
      <c r="P99" s="118"/>
      <c r="Q99" s="27" t="s">
        <v>320</v>
      </c>
      <c r="R99" s="27"/>
      <c r="S99" s="27"/>
      <c r="T99" s="27"/>
      <c r="U99" s="27"/>
      <c r="V99" s="27"/>
      <c r="W99" s="119"/>
    </row>
    <row r="100" spans="1:23" s="30" customFormat="1" ht="18" x14ac:dyDescent="0.35">
      <c r="A100" s="106">
        <f t="shared" si="34"/>
        <v>87</v>
      </c>
      <c r="B100" s="107" t="s">
        <v>62</v>
      </c>
      <c r="C100" s="121" t="s">
        <v>97</v>
      </c>
      <c r="D100" s="108" t="s">
        <v>94</v>
      </c>
      <c r="E100" s="109">
        <v>40000</v>
      </c>
      <c r="F100" s="110" t="s">
        <v>24</v>
      </c>
      <c r="G100" s="111">
        <f t="shared" si="35"/>
        <v>22.093576631931704</v>
      </c>
      <c r="H100" s="120">
        <v>883743.06527726818</v>
      </c>
      <c r="I100" s="113"/>
      <c r="J100" s="108"/>
      <c r="K100" s="114"/>
      <c r="L100" s="115"/>
      <c r="M100" s="116"/>
      <c r="N100" s="115"/>
      <c r="O100" s="117"/>
      <c r="P100" s="118"/>
      <c r="Q100" s="27" t="s">
        <v>320</v>
      </c>
      <c r="R100" s="27"/>
      <c r="S100" s="27"/>
      <c r="T100" s="27"/>
      <c r="U100" s="27"/>
      <c r="V100" s="27"/>
      <c r="W100" s="119"/>
    </row>
    <row r="101" spans="1:23" s="30" customFormat="1" ht="18" x14ac:dyDescent="0.35">
      <c r="A101" s="106">
        <f t="shared" si="34"/>
        <v>88</v>
      </c>
      <c r="B101" s="107" t="s">
        <v>62</v>
      </c>
      <c r="C101" s="121" t="s">
        <v>97</v>
      </c>
      <c r="D101" s="183" t="s">
        <v>170</v>
      </c>
      <c r="E101" s="187">
        <v>7250</v>
      </c>
      <c r="F101" s="110" t="s">
        <v>24</v>
      </c>
      <c r="G101" s="120">
        <f t="shared" si="35"/>
        <v>20.828281116028467</v>
      </c>
      <c r="H101" s="188">
        <v>151005.0380912064</v>
      </c>
      <c r="I101" s="113"/>
      <c r="J101" s="108"/>
      <c r="K101" s="114"/>
      <c r="L101" s="115"/>
      <c r="M101" s="116"/>
      <c r="N101" s="115"/>
      <c r="O101" s="117"/>
      <c r="P101" s="118"/>
      <c r="Q101" s="27" t="s">
        <v>320</v>
      </c>
      <c r="R101" s="27"/>
      <c r="S101" s="27"/>
      <c r="T101" s="27"/>
      <c r="U101" s="27"/>
      <c r="V101" s="27"/>
      <c r="W101" s="119"/>
    </row>
    <row r="102" spans="1:23" s="30" customFormat="1" ht="18" x14ac:dyDescent="0.35">
      <c r="A102" s="106">
        <f t="shared" si="34"/>
        <v>89</v>
      </c>
      <c r="B102" s="107" t="s">
        <v>62</v>
      </c>
      <c r="C102" s="121" t="s">
        <v>97</v>
      </c>
      <c r="D102" s="107" t="s">
        <v>171</v>
      </c>
      <c r="E102" s="187">
        <v>4000</v>
      </c>
      <c r="F102" s="110" t="s">
        <v>24</v>
      </c>
      <c r="G102" s="120">
        <f t="shared" si="35"/>
        <v>26.328015103045761</v>
      </c>
      <c r="H102" s="188">
        <v>105312.06041218304</v>
      </c>
      <c r="I102" s="113"/>
      <c r="J102" s="108"/>
      <c r="K102" s="114"/>
      <c r="L102" s="115"/>
      <c r="M102" s="116"/>
      <c r="N102" s="115"/>
      <c r="O102" s="168"/>
      <c r="P102" s="118"/>
      <c r="Q102" s="27" t="s">
        <v>320</v>
      </c>
      <c r="R102" s="27"/>
      <c r="S102" s="27"/>
      <c r="T102" s="27"/>
      <c r="U102" s="27"/>
      <c r="V102" s="27"/>
      <c r="W102" s="119"/>
    </row>
    <row r="103" spans="1:23" s="30" customFormat="1" ht="18" x14ac:dyDescent="0.35">
      <c r="A103" s="106">
        <f t="shared" si="34"/>
        <v>90</v>
      </c>
      <c r="B103" s="107" t="s">
        <v>62</v>
      </c>
      <c r="C103" s="121" t="s">
        <v>118</v>
      </c>
      <c r="D103" s="183" t="s">
        <v>172</v>
      </c>
      <c r="E103" s="187">
        <v>2</v>
      </c>
      <c r="F103" s="110" t="s">
        <v>92</v>
      </c>
      <c r="G103" s="120">
        <f t="shared" si="35"/>
        <v>577607.8428526615</v>
      </c>
      <c r="H103" s="188">
        <v>1155215.685705323</v>
      </c>
      <c r="I103" s="113"/>
      <c r="J103" s="108"/>
      <c r="K103" s="114"/>
      <c r="L103" s="115"/>
      <c r="M103" s="116"/>
      <c r="N103" s="115"/>
      <c r="O103" s="168"/>
      <c r="P103" s="118"/>
      <c r="Q103" s="27" t="s">
        <v>320</v>
      </c>
      <c r="R103" s="27"/>
      <c r="S103" s="27"/>
      <c r="T103" s="27"/>
      <c r="U103" s="27"/>
      <c r="V103" s="27"/>
      <c r="W103" s="119"/>
    </row>
    <row r="104" spans="1:23" s="30" customFormat="1" ht="18" x14ac:dyDescent="0.35">
      <c r="A104" s="106">
        <f t="shared" si="34"/>
        <v>91</v>
      </c>
      <c r="B104" s="107" t="s">
        <v>62</v>
      </c>
      <c r="C104" s="121" t="s">
        <v>118</v>
      </c>
      <c r="D104" s="183" t="s">
        <v>173</v>
      </c>
      <c r="E104" s="187">
        <v>0.5</v>
      </c>
      <c r="F104" s="110" t="s">
        <v>92</v>
      </c>
      <c r="G104" s="120">
        <f t="shared" si="35"/>
        <v>3389797.4625933953</v>
      </c>
      <c r="H104" s="188">
        <v>1694898.7312966976</v>
      </c>
      <c r="I104" s="113"/>
      <c r="J104" s="108"/>
      <c r="K104" s="114"/>
      <c r="L104" s="115"/>
      <c r="M104" s="116"/>
      <c r="N104" s="115"/>
      <c r="O104" s="168"/>
      <c r="P104" s="118"/>
      <c r="Q104" s="27" t="s">
        <v>320</v>
      </c>
      <c r="R104" s="27"/>
      <c r="S104" s="27"/>
      <c r="T104" s="27"/>
      <c r="U104" s="27"/>
      <c r="V104" s="27"/>
      <c r="W104" s="119"/>
    </row>
    <row r="105" spans="1:23" s="30" customFormat="1" ht="18" x14ac:dyDescent="0.35">
      <c r="A105" s="106">
        <f t="shared" si="34"/>
        <v>92</v>
      </c>
      <c r="B105" s="107" t="s">
        <v>62</v>
      </c>
      <c r="C105" s="121" t="s">
        <v>118</v>
      </c>
      <c r="D105" s="183" t="s">
        <v>174</v>
      </c>
      <c r="E105" s="187">
        <v>4</v>
      </c>
      <c r="F105" s="110" t="s">
        <v>92</v>
      </c>
      <c r="G105" s="120">
        <f t="shared" si="35"/>
        <v>577607.8428526615</v>
      </c>
      <c r="H105" s="188">
        <v>2310431.371410646</v>
      </c>
      <c r="I105" s="113"/>
      <c r="J105" s="108"/>
      <c r="K105" s="114"/>
      <c r="L105" s="115"/>
      <c r="M105" s="116"/>
      <c r="N105" s="115"/>
      <c r="O105" s="168"/>
      <c r="P105" s="118"/>
      <c r="Q105" s="27" t="s">
        <v>320</v>
      </c>
      <c r="R105" s="27"/>
      <c r="S105" s="27"/>
      <c r="T105" s="27"/>
      <c r="U105" s="27"/>
      <c r="V105" s="27"/>
      <c r="W105" s="119"/>
    </row>
    <row r="106" spans="1:23" s="30" customFormat="1" ht="18" x14ac:dyDescent="0.35">
      <c r="A106" s="106">
        <f t="shared" si="34"/>
        <v>93</v>
      </c>
      <c r="B106" s="107" t="s">
        <v>62</v>
      </c>
      <c r="C106" s="121" t="s">
        <v>118</v>
      </c>
      <c r="D106" s="183" t="s">
        <v>175</v>
      </c>
      <c r="E106" s="187">
        <v>1</v>
      </c>
      <c r="F106" s="110" t="s">
        <v>92</v>
      </c>
      <c r="G106" s="120">
        <f t="shared" si="35"/>
        <v>577607.8428526615</v>
      </c>
      <c r="H106" s="188">
        <v>577607.8428526615</v>
      </c>
      <c r="I106" s="113"/>
      <c r="J106" s="108"/>
      <c r="K106" s="114"/>
      <c r="L106" s="115"/>
      <c r="M106" s="116"/>
      <c r="N106" s="115"/>
      <c r="O106" s="168"/>
      <c r="P106" s="118"/>
      <c r="Q106" s="27" t="s">
        <v>320</v>
      </c>
      <c r="R106" s="27"/>
      <c r="S106" s="27"/>
      <c r="T106" s="27"/>
      <c r="U106" s="27"/>
      <c r="V106" s="27"/>
      <c r="W106" s="119"/>
    </row>
    <row r="107" spans="1:23" s="30" customFormat="1" ht="18" x14ac:dyDescent="0.35">
      <c r="A107" s="106">
        <f t="shared" si="34"/>
        <v>94</v>
      </c>
      <c r="B107" s="107" t="s">
        <v>62</v>
      </c>
      <c r="C107" s="121" t="s">
        <v>118</v>
      </c>
      <c r="D107" s="183" t="s">
        <v>176</v>
      </c>
      <c r="E107" s="187">
        <v>6</v>
      </c>
      <c r="F107" s="110" t="s">
        <v>92</v>
      </c>
      <c r="G107" s="120">
        <f t="shared" si="35"/>
        <v>577607.8428526615</v>
      </c>
      <c r="H107" s="188">
        <v>3465647.0571159688</v>
      </c>
      <c r="I107" s="113"/>
      <c r="J107" s="108"/>
      <c r="K107" s="114"/>
      <c r="L107" s="115"/>
      <c r="M107" s="116"/>
      <c r="N107" s="115"/>
      <c r="O107" s="168"/>
      <c r="P107" s="118"/>
      <c r="Q107" s="27" t="s">
        <v>320</v>
      </c>
      <c r="R107" s="27"/>
      <c r="S107" s="27"/>
      <c r="T107" s="27"/>
      <c r="U107" s="27"/>
      <c r="V107" s="27"/>
      <c r="W107" s="119"/>
    </row>
    <row r="108" spans="1:23" s="30" customFormat="1" ht="18" x14ac:dyDescent="0.35">
      <c r="A108" s="106">
        <f t="shared" si="34"/>
        <v>95</v>
      </c>
      <c r="B108" s="107" t="s">
        <v>62</v>
      </c>
      <c r="C108" s="121" t="s">
        <v>177</v>
      </c>
      <c r="D108" s="183" t="s">
        <v>96</v>
      </c>
      <c r="E108" s="187">
        <v>2</v>
      </c>
      <c r="F108" s="110" t="s">
        <v>92</v>
      </c>
      <c r="G108" s="120">
        <f t="shared" si="35"/>
        <v>338429.52426277002</v>
      </c>
      <c r="H108" s="188">
        <v>676859.04852554004</v>
      </c>
      <c r="I108" s="113"/>
      <c r="J108" s="108"/>
      <c r="K108" s="114"/>
      <c r="L108" s="115"/>
      <c r="M108" s="116"/>
      <c r="N108" s="115"/>
      <c r="O108" s="168"/>
      <c r="P108" s="118"/>
      <c r="Q108" s="27" t="s">
        <v>320</v>
      </c>
      <c r="R108" s="27"/>
      <c r="S108" s="27"/>
      <c r="T108" s="27"/>
      <c r="U108" s="27"/>
      <c r="V108" s="27"/>
      <c r="W108" s="119"/>
    </row>
    <row r="109" spans="1:23" s="30" customFormat="1" ht="18" x14ac:dyDescent="0.35">
      <c r="A109" s="106">
        <f t="shared" si="34"/>
        <v>96</v>
      </c>
      <c r="B109" s="107" t="s">
        <v>62</v>
      </c>
      <c r="C109" s="121" t="s">
        <v>177</v>
      </c>
      <c r="D109" s="183" t="s">
        <v>178</v>
      </c>
      <c r="E109" s="187">
        <v>0.5</v>
      </c>
      <c r="F109" s="110" t="s">
        <v>92</v>
      </c>
      <c r="G109" s="120">
        <f t="shared" si="35"/>
        <v>338429.52426277997</v>
      </c>
      <c r="H109" s="188">
        <v>169214.76213138999</v>
      </c>
      <c r="I109" s="113"/>
      <c r="J109" s="108"/>
      <c r="K109" s="114"/>
      <c r="L109" s="115"/>
      <c r="M109" s="116"/>
      <c r="N109" s="115"/>
      <c r="O109" s="168"/>
      <c r="P109" s="118"/>
      <c r="Q109" s="27" t="s">
        <v>320</v>
      </c>
      <c r="R109" s="27"/>
      <c r="S109" s="27"/>
      <c r="T109" s="27"/>
      <c r="U109" s="27"/>
      <c r="V109" s="27"/>
      <c r="W109" s="119"/>
    </row>
    <row r="110" spans="1:23" s="30" customFormat="1" ht="18" x14ac:dyDescent="0.35">
      <c r="A110" s="106">
        <f t="shared" si="34"/>
        <v>97</v>
      </c>
      <c r="B110" s="107" t="s">
        <v>62</v>
      </c>
      <c r="C110" s="121" t="s">
        <v>117</v>
      </c>
      <c r="D110" s="183" t="s">
        <v>179</v>
      </c>
      <c r="E110" s="187">
        <v>2</v>
      </c>
      <c r="F110" s="110" t="s">
        <v>92</v>
      </c>
      <c r="G110" s="120">
        <f t="shared" si="35"/>
        <v>240341.19617511361</v>
      </c>
      <c r="H110" s="188">
        <v>480682.39235022722</v>
      </c>
      <c r="I110" s="113"/>
      <c r="J110" s="108"/>
      <c r="K110" s="114"/>
      <c r="L110" s="115"/>
      <c r="M110" s="116"/>
      <c r="N110" s="115"/>
      <c r="O110" s="168"/>
      <c r="P110" s="118"/>
      <c r="Q110" s="27" t="s">
        <v>320</v>
      </c>
      <c r="R110" s="27"/>
      <c r="S110" s="27"/>
      <c r="T110" s="27"/>
      <c r="U110" s="27"/>
      <c r="V110" s="27"/>
      <c r="W110" s="119"/>
    </row>
    <row r="111" spans="1:23" s="30" customFormat="1" ht="18" x14ac:dyDescent="0.35">
      <c r="A111" s="106">
        <f t="shared" si="34"/>
        <v>98</v>
      </c>
      <c r="B111" s="107" t="s">
        <v>62</v>
      </c>
      <c r="C111" s="121" t="s">
        <v>117</v>
      </c>
      <c r="D111" s="183" t="s">
        <v>180</v>
      </c>
      <c r="E111" s="187">
        <v>2.5</v>
      </c>
      <c r="F111" s="110" t="s">
        <v>92</v>
      </c>
      <c r="G111" s="120">
        <f t="shared" si="35"/>
        <v>240341.19617511361</v>
      </c>
      <c r="H111" s="188">
        <v>600852.990437784</v>
      </c>
      <c r="I111" s="113"/>
      <c r="J111" s="108"/>
      <c r="K111" s="114"/>
      <c r="L111" s="115"/>
      <c r="M111" s="116"/>
      <c r="N111" s="115"/>
      <c r="O111" s="168"/>
      <c r="P111" s="118"/>
      <c r="Q111" s="27" t="s">
        <v>320</v>
      </c>
      <c r="R111" s="27"/>
      <c r="S111" s="27"/>
      <c r="T111" s="27"/>
      <c r="U111" s="27"/>
      <c r="V111" s="27"/>
      <c r="W111" s="119"/>
    </row>
    <row r="112" spans="1:23" s="30" customFormat="1" ht="18" x14ac:dyDescent="0.35">
      <c r="A112" s="106">
        <f t="shared" si="34"/>
        <v>99</v>
      </c>
      <c r="B112" s="107" t="s">
        <v>62</v>
      </c>
      <c r="C112" s="121" t="s">
        <v>117</v>
      </c>
      <c r="D112" s="183" t="s">
        <v>181</v>
      </c>
      <c r="E112" s="187">
        <v>3</v>
      </c>
      <c r="F112" s="110" t="s">
        <v>92</v>
      </c>
      <c r="G112" s="120">
        <f t="shared" si="35"/>
        <v>240341.19617511364</v>
      </c>
      <c r="H112" s="188">
        <v>721023.58852534089</v>
      </c>
      <c r="I112" s="169"/>
      <c r="J112" s="108"/>
      <c r="K112" s="114"/>
      <c r="L112" s="115"/>
      <c r="M112" s="116"/>
      <c r="N112" s="115"/>
      <c r="O112" s="168"/>
      <c r="P112" s="118"/>
      <c r="Q112" s="27" t="s">
        <v>320</v>
      </c>
      <c r="R112" s="27"/>
      <c r="S112" s="27"/>
      <c r="T112" s="27"/>
      <c r="U112" s="27"/>
      <c r="V112" s="27"/>
      <c r="W112" s="119"/>
    </row>
    <row r="113" spans="1:23" s="30" customFormat="1" ht="18" x14ac:dyDescent="0.35">
      <c r="A113" s="106"/>
      <c r="B113" s="107"/>
      <c r="C113" s="121"/>
      <c r="D113" s="107"/>
      <c r="E113" s="175"/>
      <c r="F113" s="110"/>
      <c r="G113" s="120"/>
      <c r="H113" s="186"/>
      <c r="I113" s="46"/>
      <c r="J113" s="47"/>
      <c r="K113" s="48"/>
      <c r="L113" s="159">
        <f>SUM(L14:L93)</f>
        <v>222033.97380000001</v>
      </c>
      <c r="M113" s="160"/>
      <c r="N113" s="159"/>
      <c r="O113" s="159">
        <f>SUM(O14:O93)</f>
        <v>137593161.8834222</v>
      </c>
      <c r="P113" s="118"/>
      <c r="Q113" s="27"/>
      <c r="R113" s="27"/>
      <c r="S113" s="27"/>
      <c r="T113" s="27"/>
      <c r="U113" s="27"/>
      <c r="V113" s="27"/>
      <c r="W113" s="119"/>
    </row>
    <row r="114" spans="1:23" s="30" customFormat="1" ht="18" x14ac:dyDescent="0.35">
      <c r="A114" s="106"/>
      <c r="B114" s="107"/>
      <c r="C114" s="121"/>
      <c r="D114" s="107"/>
      <c r="E114" s="175"/>
      <c r="F114" s="110"/>
      <c r="G114" s="111"/>
      <c r="H114" s="120"/>
      <c r="I114" s="46"/>
      <c r="J114" s="47"/>
      <c r="K114" s="47"/>
      <c r="L114" s="172"/>
      <c r="M114" s="173"/>
      <c r="N114" s="172"/>
      <c r="O114" s="174"/>
      <c r="P114" s="118"/>
      <c r="Q114" s="27"/>
      <c r="R114" s="27"/>
      <c r="S114" s="27"/>
      <c r="T114" s="27"/>
      <c r="U114" s="27"/>
      <c r="V114" s="27"/>
      <c r="W114" s="119"/>
    </row>
    <row r="115" spans="1:23" s="30" customFormat="1" ht="18" x14ac:dyDescent="0.35">
      <c r="A115" s="106"/>
      <c r="B115" s="107"/>
      <c r="C115" s="121"/>
      <c r="D115" s="108"/>
      <c r="E115" s="109"/>
      <c r="F115" s="110"/>
      <c r="G115" s="111"/>
      <c r="H115" s="120"/>
      <c r="I115" s="46" t="s">
        <v>15</v>
      </c>
      <c r="J115" s="47"/>
      <c r="K115" s="75"/>
      <c r="L115" s="75"/>
      <c r="M115" s="75"/>
      <c r="N115" s="75"/>
      <c r="O115" s="76"/>
      <c r="P115" s="118"/>
      <c r="Q115" s="27"/>
      <c r="R115" s="27"/>
      <c r="S115" s="27"/>
      <c r="T115" s="27"/>
      <c r="U115" s="27"/>
      <c r="V115" s="27"/>
      <c r="W115" s="119"/>
    </row>
    <row r="116" spans="1:23" s="30" customFormat="1" ht="18" x14ac:dyDescent="0.35">
      <c r="A116" s="106"/>
      <c r="B116" s="107"/>
      <c r="C116" s="121"/>
      <c r="D116" s="108"/>
      <c r="E116" s="109"/>
      <c r="F116" s="110"/>
      <c r="G116" s="111"/>
      <c r="H116" s="120"/>
      <c r="I116" s="113">
        <v>1</v>
      </c>
      <c r="J116" s="122" t="str">
        <f t="shared" ref="J116:J122" si="36">D94</f>
        <v>D.Langsir TBS</v>
      </c>
      <c r="K116" s="114" t="str">
        <f t="shared" ref="K116:K122" si="37">B94</f>
        <v>Plasma I</v>
      </c>
      <c r="L116" s="115">
        <f t="shared" ref="L116:L123" si="38">SUMIFS($E$14:$E$119,$D$14:$D$119,J116,$B$14:$B$119,K116)</f>
        <v>10000</v>
      </c>
      <c r="M116" s="110" t="str">
        <f t="shared" ref="M116:M134" si="39">+VLOOKUP(J116,$D$14:$F$140,3,0)</f>
        <v>Kg</v>
      </c>
      <c r="N116" s="115">
        <f t="shared" ref="N116:N122" si="40">O116/L116</f>
        <v>69.667383103562926</v>
      </c>
      <c r="O116" s="117">
        <f t="shared" ref="O116:O134" si="41">SUMIFS($H$14:$H$140,$D$14:$D$140,J116,$B$14:$B$140,K116)</f>
        <v>696673.83103562926</v>
      </c>
      <c r="P116" s="118"/>
      <c r="Q116" s="27"/>
      <c r="R116" s="27"/>
      <c r="S116" s="27"/>
      <c r="T116" s="27"/>
      <c r="U116" s="27"/>
      <c r="V116" s="27"/>
      <c r="W116" s="119"/>
    </row>
    <row r="117" spans="1:23" s="30" customFormat="1" ht="18" x14ac:dyDescent="0.35">
      <c r="A117" s="106"/>
      <c r="B117" s="107"/>
      <c r="C117" s="121"/>
      <c r="D117" s="108"/>
      <c r="E117" s="112"/>
      <c r="F117" s="110"/>
      <c r="G117" s="111"/>
      <c r="H117" s="120"/>
      <c r="I117" s="113">
        <f>I116+1</f>
        <v>2</v>
      </c>
      <c r="J117" s="122" t="str">
        <f t="shared" si="36"/>
        <v>D.Loading Bongkaran Pondasi Tangki+ Bata</v>
      </c>
      <c r="K117" s="114" t="str">
        <f t="shared" si="37"/>
        <v>Plasma I</v>
      </c>
      <c r="L117" s="115">
        <f t="shared" si="38"/>
        <v>3000</v>
      </c>
      <c r="M117" s="110" t="str">
        <f t="shared" si="39"/>
        <v>Kg</v>
      </c>
      <c r="N117" s="115">
        <f t="shared" si="40"/>
        <v>69.667383103562912</v>
      </c>
      <c r="O117" s="117">
        <f t="shared" si="41"/>
        <v>209002.14931068875</v>
      </c>
      <c r="P117" s="118"/>
      <c r="Q117" s="27"/>
      <c r="R117" s="27"/>
      <c r="S117" s="27"/>
      <c r="T117" s="27"/>
      <c r="U117" s="27"/>
      <c r="V117" s="27"/>
      <c r="W117" s="119"/>
    </row>
    <row r="118" spans="1:23" s="30" customFormat="1" ht="18" x14ac:dyDescent="0.35">
      <c r="A118" s="106"/>
      <c r="B118" s="107"/>
      <c r="C118" s="121"/>
      <c r="D118" s="121"/>
      <c r="E118" s="112"/>
      <c r="F118" s="110"/>
      <c r="G118" s="167"/>
      <c r="H118" s="120"/>
      <c r="I118" s="113">
        <f>I117+1</f>
        <v>3</v>
      </c>
      <c r="J118" s="122" t="str">
        <f t="shared" si="36"/>
        <v>T.Loading Batu</v>
      </c>
      <c r="K118" s="114" t="str">
        <f t="shared" si="37"/>
        <v>Plasma I</v>
      </c>
      <c r="L118" s="115">
        <f t="shared" si="38"/>
        <v>3000</v>
      </c>
      <c r="M118" s="110" t="str">
        <f t="shared" si="39"/>
        <v>Kg</v>
      </c>
      <c r="N118" s="115">
        <f t="shared" si="40"/>
        <v>26.376091083219332</v>
      </c>
      <c r="O118" s="117">
        <f t="shared" si="41"/>
        <v>79128.273249657999</v>
      </c>
      <c r="P118" s="118"/>
      <c r="Q118" s="27"/>
      <c r="R118" s="27"/>
      <c r="S118" s="27"/>
      <c r="T118" s="27"/>
      <c r="U118" s="27"/>
      <c r="V118" s="27"/>
      <c r="W118" s="119"/>
    </row>
    <row r="119" spans="1:23" s="30" customFormat="1" ht="18" x14ac:dyDescent="0.35">
      <c r="A119" s="106"/>
      <c r="B119" s="107"/>
      <c r="C119" s="121"/>
      <c r="D119" s="121"/>
      <c r="E119" s="112"/>
      <c r="F119" s="110"/>
      <c r="G119" s="167"/>
      <c r="H119" s="120"/>
      <c r="I119" s="113">
        <f t="shared" ref="I119:I134" si="42">I118+1</f>
        <v>4</v>
      </c>
      <c r="J119" s="122" t="str">
        <f t="shared" si="36"/>
        <v>T.Menarik unit</v>
      </c>
      <c r="K119" s="114" t="str">
        <f t="shared" si="37"/>
        <v>Plasma I</v>
      </c>
      <c r="L119" s="115">
        <f t="shared" si="38"/>
        <v>132500</v>
      </c>
      <c r="M119" s="110" t="str">
        <f t="shared" si="39"/>
        <v>Kg</v>
      </c>
      <c r="N119" s="115">
        <f t="shared" si="40"/>
        <v>23.921644346622209</v>
      </c>
      <c r="O119" s="117">
        <f t="shared" si="41"/>
        <v>3169617.8759274427</v>
      </c>
      <c r="P119" s="118"/>
      <c r="Q119" s="27"/>
      <c r="R119" s="27"/>
      <c r="S119" s="27"/>
      <c r="T119" s="27"/>
      <c r="U119" s="27"/>
      <c r="V119" s="27"/>
      <c r="W119" s="119"/>
    </row>
    <row r="120" spans="1:23" s="30" customFormat="1" ht="18" x14ac:dyDescent="0.35">
      <c r="A120" s="106"/>
      <c r="B120" s="107"/>
      <c r="C120" s="121"/>
      <c r="D120" s="121"/>
      <c r="E120" s="112"/>
      <c r="F120" s="110"/>
      <c r="G120" s="167"/>
      <c r="H120" s="120"/>
      <c r="I120" s="113">
        <f t="shared" si="42"/>
        <v>5</v>
      </c>
      <c r="J120" s="122" t="str">
        <f t="shared" si="36"/>
        <v>T.Langsir TBS</v>
      </c>
      <c r="K120" s="114" t="str">
        <f t="shared" si="37"/>
        <v>Plasma I</v>
      </c>
      <c r="L120" s="115">
        <f t="shared" si="38"/>
        <v>213000</v>
      </c>
      <c r="M120" s="110" t="str">
        <f t="shared" si="39"/>
        <v>Kg</v>
      </c>
      <c r="N120" s="115">
        <f t="shared" si="40"/>
        <v>20.932465340764448</v>
      </c>
      <c r="O120" s="117">
        <f t="shared" si="41"/>
        <v>4458615.1175828278</v>
      </c>
      <c r="P120" s="118"/>
      <c r="Q120" s="27"/>
      <c r="R120" s="27"/>
      <c r="S120" s="27"/>
      <c r="T120" s="27"/>
      <c r="U120" s="27"/>
      <c r="V120" s="27"/>
      <c r="W120" s="119"/>
    </row>
    <row r="121" spans="1:23" s="30" customFormat="1" ht="18" x14ac:dyDescent="0.35">
      <c r="A121" s="106"/>
      <c r="B121" s="107"/>
      <c r="C121" s="121"/>
      <c r="D121" s="121"/>
      <c r="E121" s="112"/>
      <c r="F121" s="110"/>
      <c r="G121" s="167"/>
      <c r="H121" s="120"/>
      <c r="I121" s="113">
        <f t="shared" si="42"/>
        <v>6</v>
      </c>
      <c r="J121" s="122" t="str">
        <f t="shared" si="36"/>
        <v>T.Rolling Excavator</v>
      </c>
      <c r="K121" s="114" t="str">
        <f t="shared" si="37"/>
        <v>Plasma I</v>
      </c>
      <c r="L121" s="115">
        <f t="shared" si="38"/>
        <v>4000</v>
      </c>
      <c r="M121" s="110" t="str">
        <f t="shared" si="39"/>
        <v>Kg</v>
      </c>
      <c r="N121" s="115">
        <f t="shared" si="40"/>
        <v>32.538870488990483</v>
      </c>
      <c r="O121" s="117">
        <f t="shared" si="41"/>
        <v>130155.48195596192</v>
      </c>
      <c r="P121" s="118"/>
      <c r="Q121" s="27"/>
      <c r="R121" s="27"/>
      <c r="S121" s="27"/>
      <c r="T121" s="27"/>
      <c r="U121" s="27"/>
      <c r="V121" s="27"/>
      <c r="W121" s="119"/>
    </row>
    <row r="122" spans="1:23" s="30" customFormat="1" ht="18" x14ac:dyDescent="0.35">
      <c r="A122" s="106"/>
      <c r="B122" s="107"/>
      <c r="C122" s="121"/>
      <c r="D122" s="121"/>
      <c r="E122" s="112"/>
      <c r="F122" s="110"/>
      <c r="G122" s="167"/>
      <c r="H122" s="120"/>
      <c r="I122" s="113">
        <f t="shared" si="42"/>
        <v>7</v>
      </c>
      <c r="J122" s="122" t="str">
        <f t="shared" si="36"/>
        <v>T.Loading Tanah</v>
      </c>
      <c r="K122" s="114" t="str">
        <f t="shared" si="37"/>
        <v>Plasma I</v>
      </c>
      <c r="L122" s="115">
        <f t="shared" si="38"/>
        <v>40000</v>
      </c>
      <c r="M122" s="110" t="str">
        <f t="shared" si="39"/>
        <v>Kg</v>
      </c>
      <c r="N122" s="115">
        <f t="shared" si="40"/>
        <v>22.093576631931704</v>
      </c>
      <c r="O122" s="117">
        <f t="shared" si="41"/>
        <v>883743.06527726818</v>
      </c>
      <c r="P122" s="118"/>
      <c r="Q122" s="27"/>
      <c r="R122" s="27"/>
      <c r="S122" s="27"/>
      <c r="T122" s="27"/>
      <c r="U122" s="27"/>
      <c r="V122" s="27"/>
      <c r="W122" s="119"/>
    </row>
    <row r="123" spans="1:23" s="30" customFormat="1" ht="18" x14ac:dyDescent="0.35">
      <c r="A123" s="106"/>
      <c r="B123" s="107"/>
      <c r="C123" s="121"/>
      <c r="D123" s="121"/>
      <c r="E123" s="112"/>
      <c r="F123" s="110"/>
      <c r="G123" s="167"/>
      <c r="H123" s="120"/>
      <c r="I123" s="113">
        <f t="shared" si="42"/>
        <v>8</v>
      </c>
      <c r="J123" s="122" t="str">
        <f t="shared" ref="J123" si="43">D101</f>
        <v>T.Mengawal Unit</v>
      </c>
      <c r="K123" s="114" t="str">
        <f t="shared" ref="K123" si="44">B101</f>
        <v>Plasma I</v>
      </c>
      <c r="L123" s="115">
        <f t="shared" si="38"/>
        <v>7250</v>
      </c>
      <c r="M123" s="110" t="str">
        <f t="shared" si="39"/>
        <v>Kg</v>
      </c>
      <c r="N123" s="115">
        <f t="shared" ref="N123" si="45">O123/L123</f>
        <v>20.828281116028467</v>
      </c>
      <c r="O123" s="117">
        <f t="shared" si="41"/>
        <v>151005.0380912064</v>
      </c>
      <c r="P123" s="118"/>
      <c r="Q123" s="27"/>
      <c r="R123" s="27"/>
      <c r="S123" s="27"/>
      <c r="T123" s="27"/>
      <c r="U123" s="27"/>
      <c r="V123" s="27"/>
      <c r="W123" s="119"/>
    </row>
    <row r="124" spans="1:23" s="30" customFormat="1" ht="18" x14ac:dyDescent="0.35">
      <c r="A124" s="106"/>
      <c r="B124" s="107"/>
      <c r="C124" s="121"/>
      <c r="D124" s="121"/>
      <c r="E124" s="112"/>
      <c r="F124" s="110"/>
      <c r="G124" s="167"/>
      <c r="H124" s="120"/>
      <c r="I124" s="113">
        <f t="shared" si="42"/>
        <v>9</v>
      </c>
      <c r="J124" s="122" t="str">
        <f t="shared" ref="J124:J134" si="46">D102</f>
        <v>T.Langsir Pasir</v>
      </c>
      <c r="K124" s="114" t="str">
        <f t="shared" ref="K124:K134" si="47">B102</f>
        <v>Plasma I</v>
      </c>
      <c r="L124" s="115">
        <f t="shared" ref="L124:L134" si="48">SUMIFS($E$14:$E$119,$D$14:$D$119,J124,$B$14:$B$119,K124)</f>
        <v>4000</v>
      </c>
      <c r="M124" s="110" t="str">
        <f t="shared" si="39"/>
        <v>Kg</v>
      </c>
      <c r="N124" s="115">
        <f t="shared" ref="N124:N134" si="49">O124/L124</f>
        <v>26.328015103045761</v>
      </c>
      <c r="O124" s="117">
        <f t="shared" si="41"/>
        <v>105312.06041218304</v>
      </c>
      <c r="P124" s="118"/>
      <c r="Q124" s="27"/>
      <c r="R124" s="27"/>
      <c r="S124" s="27"/>
      <c r="T124" s="27"/>
      <c r="U124" s="27"/>
      <c r="V124" s="27"/>
      <c r="W124" s="119"/>
    </row>
    <row r="125" spans="1:23" s="30" customFormat="1" ht="18" x14ac:dyDescent="0.35">
      <c r="A125" s="106"/>
      <c r="B125" s="107"/>
      <c r="C125" s="121"/>
      <c r="D125" s="121"/>
      <c r="E125" s="112"/>
      <c r="F125" s="110"/>
      <c r="G125" s="167"/>
      <c r="H125" s="120"/>
      <c r="I125" s="113">
        <f t="shared" si="42"/>
        <v>10</v>
      </c>
      <c r="J125" s="122" t="str">
        <f t="shared" si="46"/>
        <v>E.Cuci Parit</v>
      </c>
      <c r="K125" s="114" t="str">
        <f t="shared" si="47"/>
        <v>Plasma I</v>
      </c>
      <c r="L125" s="115">
        <f t="shared" si="48"/>
        <v>2</v>
      </c>
      <c r="M125" s="110" t="str">
        <f t="shared" si="39"/>
        <v>Hm</v>
      </c>
      <c r="N125" s="115">
        <f t="shared" si="49"/>
        <v>577607.8428526615</v>
      </c>
      <c r="O125" s="117">
        <f t="shared" si="41"/>
        <v>1155215.685705323</v>
      </c>
      <c r="P125" s="118"/>
      <c r="Q125" s="27"/>
      <c r="R125" s="27"/>
      <c r="S125" s="27"/>
      <c r="T125" s="27"/>
      <c r="U125" s="27"/>
      <c r="V125" s="27"/>
      <c r="W125" s="119"/>
    </row>
    <row r="126" spans="1:23" s="30" customFormat="1" ht="18" x14ac:dyDescent="0.35">
      <c r="A126" s="106"/>
      <c r="B126" s="107"/>
      <c r="C126" s="121"/>
      <c r="D126" s="121"/>
      <c r="E126" s="112"/>
      <c r="F126" s="110"/>
      <c r="G126" s="167"/>
      <c r="H126" s="120"/>
      <c r="I126" s="113">
        <f t="shared" si="42"/>
        <v>11</v>
      </c>
      <c r="J126" s="122" t="str">
        <f t="shared" si="46"/>
        <v>E.Loading Batu</v>
      </c>
      <c r="K126" s="114" t="str">
        <f t="shared" si="47"/>
        <v>Plasma I</v>
      </c>
      <c r="L126" s="115">
        <f t="shared" si="48"/>
        <v>0.5</v>
      </c>
      <c r="M126" s="110" t="str">
        <f t="shared" si="39"/>
        <v>Hm</v>
      </c>
      <c r="N126" s="115">
        <f t="shared" si="49"/>
        <v>3389797.4625933953</v>
      </c>
      <c r="O126" s="117">
        <f t="shared" si="41"/>
        <v>1694898.7312966976</v>
      </c>
      <c r="P126" s="118"/>
      <c r="Q126" s="27"/>
      <c r="R126" s="27"/>
      <c r="S126" s="27"/>
      <c r="T126" s="27"/>
      <c r="U126" s="27"/>
      <c r="V126" s="27"/>
      <c r="W126" s="119"/>
    </row>
    <row r="127" spans="1:23" s="30" customFormat="1" ht="18" x14ac:dyDescent="0.35">
      <c r="A127" s="106"/>
      <c r="B127" s="107"/>
      <c r="C127" s="121"/>
      <c r="D127" s="121"/>
      <c r="E127" s="112"/>
      <c r="F127" s="110"/>
      <c r="G127" s="167"/>
      <c r="H127" s="120"/>
      <c r="I127" s="113">
        <f t="shared" si="42"/>
        <v>12</v>
      </c>
      <c r="J127" s="122" t="str">
        <f t="shared" si="46"/>
        <v>E.Buat Tali Air</v>
      </c>
      <c r="K127" s="114" t="str">
        <f t="shared" si="47"/>
        <v>Plasma I</v>
      </c>
      <c r="L127" s="115">
        <f t="shared" si="48"/>
        <v>4</v>
      </c>
      <c r="M127" s="110" t="str">
        <f t="shared" si="39"/>
        <v>Hm</v>
      </c>
      <c r="N127" s="115">
        <f t="shared" si="49"/>
        <v>577607.8428526615</v>
      </c>
      <c r="O127" s="117">
        <f t="shared" si="41"/>
        <v>2310431.371410646</v>
      </c>
      <c r="P127" s="118"/>
      <c r="Q127" s="27"/>
      <c r="R127" s="27"/>
      <c r="S127" s="27"/>
      <c r="T127" s="27"/>
      <c r="U127" s="27"/>
      <c r="V127" s="27"/>
      <c r="W127" s="119"/>
    </row>
    <row r="128" spans="1:23" s="30" customFormat="1" ht="18" x14ac:dyDescent="0.35">
      <c r="A128" s="106"/>
      <c r="B128" s="107"/>
      <c r="C128" s="121"/>
      <c r="D128" s="121"/>
      <c r="E128" s="112"/>
      <c r="F128" s="110"/>
      <c r="G128" s="167"/>
      <c r="H128" s="120"/>
      <c r="I128" s="113">
        <f t="shared" si="42"/>
        <v>13</v>
      </c>
      <c r="J128" s="122" t="str">
        <f t="shared" si="46"/>
        <v>E.Rolling</v>
      </c>
      <c r="K128" s="114" t="str">
        <f t="shared" si="47"/>
        <v>Plasma I</v>
      </c>
      <c r="L128" s="115">
        <f t="shared" si="48"/>
        <v>1</v>
      </c>
      <c r="M128" s="110" t="str">
        <f t="shared" si="39"/>
        <v>Hm</v>
      </c>
      <c r="N128" s="115">
        <f t="shared" si="49"/>
        <v>577607.8428526615</v>
      </c>
      <c r="O128" s="117">
        <f t="shared" si="41"/>
        <v>577607.8428526615</v>
      </c>
      <c r="P128" s="118"/>
      <c r="Q128" s="27"/>
      <c r="R128" s="27"/>
      <c r="S128" s="27"/>
      <c r="T128" s="27"/>
      <c r="U128" s="27"/>
      <c r="V128" s="27"/>
      <c r="W128" s="119"/>
    </row>
    <row r="129" spans="1:24" s="30" customFormat="1" ht="18" x14ac:dyDescent="0.35">
      <c r="A129" s="106"/>
      <c r="B129" s="107"/>
      <c r="C129" s="121"/>
      <c r="D129" s="121"/>
      <c r="E129" s="112"/>
      <c r="F129" s="110"/>
      <c r="G129" s="167"/>
      <c r="H129" s="120"/>
      <c r="I129" s="113">
        <f t="shared" si="42"/>
        <v>14</v>
      </c>
      <c r="J129" s="122" t="str">
        <f t="shared" si="46"/>
        <v>E.Loading Tanah</v>
      </c>
      <c r="K129" s="114" t="str">
        <f t="shared" si="47"/>
        <v>Plasma I</v>
      </c>
      <c r="L129" s="115">
        <f t="shared" si="48"/>
        <v>6</v>
      </c>
      <c r="M129" s="110" t="str">
        <f t="shared" si="39"/>
        <v>Hm</v>
      </c>
      <c r="N129" s="115">
        <f t="shared" si="49"/>
        <v>577607.8428526615</v>
      </c>
      <c r="O129" s="117">
        <f t="shared" si="41"/>
        <v>3465647.0571159688</v>
      </c>
      <c r="P129" s="118"/>
      <c r="Q129" s="27"/>
      <c r="R129" s="27"/>
      <c r="S129" s="27"/>
      <c r="T129" s="27"/>
      <c r="U129" s="27"/>
      <c r="V129" s="27"/>
      <c r="W129" s="119"/>
    </row>
    <row r="130" spans="1:24" s="30" customFormat="1" ht="18" x14ac:dyDescent="0.35">
      <c r="A130" s="106"/>
      <c r="B130" s="107"/>
      <c r="C130" s="121"/>
      <c r="D130" s="121"/>
      <c r="E130" s="112"/>
      <c r="F130" s="110"/>
      <c r="G130" s="167"/>
      <c r="H130" s="120"/>
      <c r="I130" s="113">
        <f t="shared" si="42"/>
        <v>15</v>
      </c>
      <c r="J130" s="122" t="str">
        <f t="shared" si="46"/>
        <v>R.Ampar Batu</v>
      </c>
      <c r="K130" s="114" t="str">
        <f t="shared" si="47"/>
        <v>Plasma I</v>
      </c>
      <c r="L130" s="115">
        <f t="shared" si="48"/>
        <v>2</v>
      </c>
      <c r="M130" s="110" t="str">
        <f t="shared" si="39"/>
        <v>Hm</v>
      </c>
      <c r="N130" s="115">
        <f t="shared" si="49"/>
        <v>338429.52426277002</v>
      </c>
      <c r="O130" s="117">
        <f t="shared" si="41"/>
        <v>676859.04852554004</v>
      </c>
      <c r="P130" s="118"/>
      <c r="Q130" s="27"/>
      <c r="R130" s="27"/>
      <c r="S130" s="27"/>
      <c r="T130" s="27"/>
      <c r="U130" s="27"/>
      <c r="V130" s="27"/>
      <c r="W130" s="119"/>
    </row>
    <row r="131" spans="1:24" s="30" customFormat="1" ht="18" x14ac:dyDescent="0.35">
      <c r="A131" s="106"/>
      <c r="B131" s="107"/>
      <c r="C131" s="121"/>
      <c r="D131" s="121"/>
      <c r="E131" s="112"/>
      <c r="F131" s="110"/>
      <c r="G131" s="167"/>
      <c r="H131" s="120"/>
      <c r="I131" s="113">
        <f t="shared" si="42"/>
        <v>16</v>
      </c>
      <c r="J131" s="122" t="str">
        <f t="shared" si="46"/>
        <v>R.Ampar Tanah Timbun</v>
      </c>
      <c r="K131" s="114" t="str">
        <f t="shared" si="47"/>
        <v>Plasma I</v>
      </c>
      <c r="L131" s="115">
        <f t="shared" si="48"/>
        <v>0.5</v>
      </c>
      <c r="M131" s="110" t="str">
        <f t="shared" si="39"/>
        <v>Hm</v>
      </c>
      <c r="N131" s="115">
        <f t="shared" si="49"/>
        <v>338429.52426277997</v>
      </c>
      <c r="O131" s="117">
        <f t="shared" si="41"/>
        <v>169214.76213138999</v>
      </c>
      <c r="P131" s="118"/>
      <c r="Q131" s="27"/>
      <c r="R131" s="27"/>
      <c r="S131" s="27"/>
      <c r="T131" s="27"/>
      <c r="U131" s="27"/>
      <c r="V131" s="27"/>
      <c r="W131" s="119"/>
    </row>
    <row r="132" spans="1:24" s="30" customFormat="1" ht="18" x14ac:dyDescent="0.35">
      <c r="A132" s="106"/>
      <c r="B132" s="107"/>
      <c r="C132" s="121"/>
      <c r="D132" s="121"/>
      <c r="E132" s="112"/>
      <c r="F132" s="110"/>
      <c r="G132" s="167"/>
      <c r="H132" s="120"/>
      <c r="I132" s="113">
        <f t="shared" si="42"/>
        <v>17</v>
      </c>
      <c r="J132" s="122" t="str">
        <f t="shared" si="46"/>
        <v>V.Compak Batu</v>
      </c>
      <c r="K132" s="114" t="str">
        <f t="shared" si="47"/>
        <v>Plasma I</v>
      </c>
      <c r="L132" s="115">
        <f t="shared" si="48"/>
        <v>2</v>
      </c>
      <c r="M132" s="110" t="str">
        <f t="shared" si="39"/>
        <v>Hm</v>
      </c>
      <c r="N132" s="115">
        <f t="shared" si="49"/>
        <v>240341.19617511361</v>
      </c>
      <c r="O132" s="117">
        <f t="shared" si="41"/>
        <v>480682.39235022722</v>
      </c>
      <c r="P132" s="118"/>
      <c r="Q132" s="27"/>
      <c r="R132" s="27"/>
      <c r="S132" s="27"/>
      <c r="T132" s="27"/>
      <c r="U132" s="27"/>
      <c r="V132" s="27"/>
      <c r="W132" s="119"/>
    </row>
    <row r="133" spans="1:24" s="30" customFormat="1" ht="18" x14ac:dyDescent="0.35">
      <c r="A133" s="106"/>
      <c r="B133" s="107"/>
      <c r="C133" s="121"/>
      <c r="D133" s="121"/>
      <c r="E133" s="112"/>
      <c r="F133" s="110"/>
      <c r="G133" s="167"/>
      <c r="H133" s="120"/>
      <c r="I133" s="113">
        <f t="shared" si="42"/>
        <v>18</v>
      </c>
      <c r="J133" s="122" t="str">
        <f t="shared" si="46"/>
        <v>V.Compak Tanah</v>
      </c>
      <c r="K133" s="114" t="str">
        <f t="shared" si="47"/>
        <v>Plasma I</v>
      </c>
      <c r="L133" s="115">
        <f t="shared" si="48"/>
        <v>2.5</v>
      </c>
      <c r="M133" s="110" t="str">
        <f t="shared" si="39"/>
        <v>Hm</v>
      </c>
      <c r="N133" s="115">
        <f t="shared" si="49"/>
        <v>240341.19617511361</v>
      </c>
      <c r="O133" s="117">
        <f t="shared" si="41"/>
        <v>600852.990437784</v>
      </c>
      <c r="P133" s="118"/>
      <c r="Q133" s="27"/>
      <c r="R133" s="27"/>
      <c r="S133" s="27"/>
      <c r="T133" s="27"/>
      <c r="U133" s="27"/>
      <c r="V133" s="27"/>
      <c r="W133" s="119"/>
    </row>
    <row r="134" spans="1:24" s="30" customFormat="1" ht="18" x14ac:dyDescent="0.35">
      <c r="A134" s="106"/>
      <c r="B134" s="107"/>
      <c r="C134" s="121"/>
      <c r="D134" s="121"/>
      <c r="E134" s="112"/>
      <c r="F134" s="110"/>
      <c r="G134" s="167"/>
      <c r="H134" s="120"/>
      <c r="I134" s="113">
        <f t="shared" si="42"/>
        <v>19</v>
      </c>
      <c r="J134" s="122" t="str">
        <f t="shared" si="46"/>
        <v>V.Compak Tanah Timbun</v>
      </c>
      <c r="K134" s="114" t="str">
        <f t="shared" si="47"/>
        <v>Plasma I</v>
      </c>
      <c r="L134" s="115">
        <f t="shared" si="48"/>
        <v>3</v>
      </c>
      <c r="M134" s="110" t="str">
        <f t="shared" si="39"/>
        <v>Hm</v>
      </c>
      <c r="N134" s="115">
        <f t="shared" si="49"/>
        <v>240341.19617511364</v>
      </c>
      <c r="O134" s="117">
        <f t="shared" si="41"/>
        <v>721023.58852534089</v>
      </c>
      <c r="P134" s="118"/>
      <c r="Q134" s="27"/>
      <c r="R134" s="27"/>
      <c r="S134" s="27"/>
      <c r="T134" s="27"/>
      <c r="U134" s="27"/>
      <c r="V134" s="27"/>
      <c r="W134" s="119"/>
    </row>
    <row r="135" spans="1:24" ht="18" x14ac:dyDescent="0.35">
      <c r="A135" s="42"/>
      <c r="B135" s="43"/>
      <c r="C135" s="13"/>
      <c r="D135" s="13"/>
      <c r="E135" s="16"/>
      <c r="F135" s="63"/>
      <c r="G135" s="16"/>
      <c r="H135" s="120"/>
      <c r="I135" s="113"/>
      <c r="J135" s="122"/>
      <c r="K135" s="114"/>
      <c r="L135" s="115"/>
      <c r="M135" s="110"/>
      <c r="N135" s="115"/>
      <c r="O135" s="117"/>
      <c r="P135" s="38"/>
      <c r="Q135" s="66"/>
      <c r="R135" s="22"/>
      <c r="S135" s="22"/>
      <c r="T135" s="22"/>
      <c r="U135" s="22"/>
      <c r="V135" s="22"/>
      <c r="W135" s="22"/>
    </row>
    <row r="136" spans="1:24" ht="18" x14ac:dyDescent="0.3">
      <c r="A136" s="42"/>
      <c r="B136" s="35"/>
      <c r="C136" s="13"/>
      <c r="D136" s="43"/>
      <c r="E136" s="14"/>
      <c r="F136" s="43"/>
      <c r="G136" s="16"/>
      <c r="H136" s="120"/>
      <c r="I136" s="113"/>
      <c r="J136" s="124"/>
      <c r="K136" s="125"/>
      <c r="L136" s="126">
        <f>SUM(L116:L134)</f>
        <v>416773.5</v>
      </c>
      <c r="M136" s="127"/>
      <c r="N136" s="128"/>
      <c r="O136" s="126">
        <f>SUM(O116:O134)</f>
        <v>21735686.363194443</v>
      </c>
      <c r="P136" s="38"/>
      <c r="Q136" s="66"/>
      <c r="R136" s="22"/>
      <c r="S136" s="22"/>
      <c r="T136" s="22"/>
      <c r="U136" s="22"/>
      <c r="V136" s="22"/>
      <c r="W136" s="22"/>
    </row>
    <row r="137" spans="1:24" ht="18" x14ac:dyDescent="0.3">
      <c r="A137" s="42"/>
      <c r="B137" s="35"/>
      <c r="C137" s="13"/>
      <c r="D137" s="13"/>
      <c r="E137" s="14"/>
      <c r="F137" s="43"/>
      <c r="G137" s="59"/>
      <c r="H137" s="120"/>
      <c r="I137" s="113"/>
      <c r="J137" s="49"/>
      <c r="K137" s="50"/>
      <c r="L137" s="50"/>
      <c r="M137" s="50"/>
      <c r="N137" s="50"/>
      <c r="O137" s="72"/>
      <c r="P137" s="38"/>
      <c r="Q137" s="66"/>
      <c r="R137" s="22"/>
      <c r="S137" s="22"/>
      <c r="T137" s="22"/>
      <c r="U137" s="22"/>
      <c r="V137" s="22"/>
      <c r="W137" s="22"/>
    </row>
    <row r="138" spans="1:24" ht="18.600000000000001" thickBot="1" x14ac:dyDescent="0.4">
      <c r="A138" s="42"/>
      <c r="B138" s="35"/>
      <c r="C138" s="13"/>
      <c r="D138" s="3"/>
      <c r="E138" s="14"/>
      <c r="F138" s="43"/>
      <c r="G138" s="70"/>
      <c r="H138" s="164"/>
      <c r="I138" s="106">
        <v>1</v>
      </c>
      <c r="J138" s="129" t="s">
        <v>62</v>
      </c>
      <c r="K138" s="130" t="s">
        <v>17</v>
      </c>
      <c r="L138" s="131">
        <f>SUMIF($K$14:$K$134,J138,$O$14:$O$134)</f>
        <v>159328848.24661666</v>
      </c>
      <c r="M138" s="45"/>
      <c r="N138" s="37"/>
      <c r="O138" s="60"/>
      <c r="P138" s="38"/>
      <c r="Q138" s="66"/>
      <c r="R138" s="22"/>
      <c r="S138" s="22"/>
      <c r="T138" s="22"/>
      <c r="U138" s="22"/>
      <c r="V138" s="22"/>
      <c r="W138" s="22"/>
    </row>
    <row r="139" spans="1:24" ht="18" x14ac:dyDescent="0.35">
      <c r="A139" s="42"/>
      <c r="B139" s="35"/>
      <c r="C139" s="13"/>
      <c r="D139" s="3"/>
      <c r="E139" s="14"/>
      <c r="F139" s="63"/>
      <c r="G139" s="16"/>
      <c r="H139" s="16"/>
      <c r="I139" s="132"/>
      <c r="J139" s="133" t="s">
        <v>65</v>
      </c>
      <c r="K139" s="134" t="s">
        <v>17</v>
      </c>
      <c r="L139" s="135">
        <f>SUM(L138:L138)</f>
        <v>159328848.24661666</v>
      </c>
      <c r="M139" s="45"/>
      <c r="N139" s="19"/>
      <c r="O139" s="61"/>
      <c r="P139" s="38"/>
      <c r="Q139" s="66"/>
      <c r="R139" s="22"/>
      <c r="S139" s="22"/>
      <c r="T139" s="22"/>
      <c r="U139" s="22"/>
      <c r="V139" s="22"/>
      <c r="W139" s="22"/>
    </row>
    <row r="140" spans="1:24" ht="16.2" thickBot="1" x14ac:dyDescent="0.35">
      <c r="A140" s="42"/>
      <c r="B140" s="35"/>
      <c r="C140" s="13"/>
      <c r="D140" s="44"/>
      <c r="E140" s="14"/>
      <c r="F140" s="63"/>
      <c r="G140" s="14"/>
      <c r="H140" s="15"/>
      <c r="I140" s="51"/>
      <c r="J140" s="75"/>
      <c r="K140" s="75"/>
      <c r="L140" s="75"/>
      <c r="M140" s="75"/>
      <c r="N140" s="75"/>
      <c r="O140" s="76"/>
      <c r="P140" s="38"/>
      <c r="Q140" s="66"/>
      <c r="R140" s="22"/>
      <c r="S140" s="22"/>
      <c r="T140" s="22"/>
      <c r="U140" s="22"/>
      <c r="V140" s="22"/>
      <c r="W140" s="22"/>
    </row>
    <row r="141" spans="1:24" ht="19.2" thickTop="1" thickBot="1" x14ac:dyDescent="0.4">
      <c r="A141" s="295" t="s">
        <v>31</v>
      </c>
      <c r="B141" s="296"/>
      <c r="C141" s="296"/>
      <c r="D141" s="52"/>
      <c r="E141" s="140">
        <f>SUM(E14:E140)</f>
        <v>638807.47380000004</v>
      </c>
      <c r="F141" s="141"/>
      <c r="G141" s="140"/>
      <c r="H141" s="142">
        <f>SUM(H14:H140)</f>
        <v>159328848.24661666</v>
      </c>
      <c r="I141" s="53"/>
      <c r="J141" s="54"/>
      <c r="K141" s="55"/>
      <c r="L141" s="136">
        <f>L113+L136</f>
        <v>638807.47380000004</v>
      </c>
      <c r="M141" s="137"/>
      <c r="N141" s="138"/>
      <c r="O141" s="139">
        <f>O113+O136</f>
        <v>159328848.24661663</v>
      </c>
      <c r="P141" s="38"/>
      <c r="Q141" s="66"/>
      <c r="R141" s="22"/>
      <c r="S141" s="22"/>
      <c r="T141" s="22"/>
      <c r="U141" s="22"/>
      <c r="V141" s="22"/>
      <c r="W141" s="22"/>
    </row>
    <row r="142" spans="1:24" ht="16.2" thickTop="1" x14ac:dyDescent="0.3">
      <c r="A142" s="4"/>
      <c r="B142" s="4"/>
      <c r="C142" s="4"/>
      <c r="D142" s="4"/>
      <c r="F142" s="73"/>
      <c r="H142" s="185">
        <v>159328848.24661663</v>
      </c>
      <c r="I142" s="74"/>
      <c r="J142" s="57"/>
      <c r="K142" s="57"/>
      <c r="L142" s="79">
        <f>+E141-L141</f>
        <v>0</v>
      </c>
      <c r="M142" s="77">
        <f>+H141-L139</f>
        <v>0</v>
      </c>
      <c r="N142" s="78"/>
      <c r="O142" s="80">
        <f>H141-O141</f>
        <v>0</v>
      </c>
      <c r="P142" s="36"/>
      <c r="Q142" s="22"/>
      <c r="R142" s="22"/>
      <c r="S142" s="22"/>
      <c r="T142" s="22"/>
      <c r="U142" s="22"/>
      <c r="V142" s="22"/>
      <c r="W142" s="22"/>
    </row>
    <row r="143" spans="1:24" ht="18" x14ac:dyDescent="0.35">
      <c r="A143" s="56"/>
      <c r="B143" s="17"/>
      <c r="C143" s="44"/>
      <c r="D143" s="62"/>
      <c r="E143" s="18"/>
      <c r="F143" s="74"/>
      <c r="H143" s="185">
        <f>+H141-H142</f>
        <v>0</v>
      </c>
      <c r="I143" s="74"/>
      <c r="J143" s="23"/>
      <c r="K143" s="23"/>
      <c r="L143" s="320" t="s">
        <v>182</v>
      </c>
      <c r="M143" s="320"/>
      <c r="N143" s="320"/>
      <c r="O143" s="320"/>
      <c r="P143" s="36"/>
    </row>
    <row r="144" spans="1:24" s="4" customFormat="1" ht="18" x14ac:dyDescent="0.35">
      <c r="A144" s="143"/>
      <c r="B144" s="108"/>
      <c r="C144" s="144" t="s">
        <v>35</v>
      </c>
      <c r="D144" s="145"/>
      <c r="E144" s="146"/>
      <c r="F144" s="319" t="s">
        <v>21</v>
      </c>
      <c r="G144" s="319"/>
      <c r="H144" s="147"/>
      <c r="I144" s="74"/>
      <c r="J144" s="144" t="s">
        <v>18</v>
      </c>
      <c r="K144" s="149"/>
      <c r="L144" s="320" t="s">
        <v>22</v>
      </c>
      <c r="M144" s="320"/>
      <c r="N144" s="320"/>
      <c r="O144" s="320"/>
      <c r="P144" s="36"/>
      <c r="W144" s="21"/>
      <c r="X144" s="22"/>
    </row>
    <row r="145" spans="1:24" s="4" customFormat="1" ht="18" x14ac:dyDescent="0.35">
      <c r="A145" s="143"/>
      <c r="B145" s="108"/>
      <c r="C145" s="146"/>
      <c r="D145" s="108"/>
      <c r="E145" s="146"/>
      <c r="F145" s="144"/>
      <c r="G145" s="146"/>
      <c r="H145" s="147"/>
      <c r="I145" s="74"/>
      <c r="J145" s="146"/>
      <c r="K145" s="149"/>
      <c r="L145" s="150"/>
      <c r="M145" s="150"/>
      <c r="N145" s="150"/>
      <c r="O145" s="150"/>
      <c r="P145" s="36"/>
      <c r="W145" s="21"/>
      <c r="X145" s="22"/>
    </row>
    <row r="146" spans="1:24" s="4" customFormat="1" ht="18" x14ac:dyDescent="0.35">
      <c r="A146" s="143"/>
      <c r="B146" s="108"/>
      <c r="C146" s="146"/>
      <c r="D146" s="108"/>
      <c r="E146" s="146"/>
      <c r="F146" s="144"/>
      <c r="G146" s="146"/>
      <c r="H146" s="146"/>
      <c r="I146" s="74"/>
      <c r="J146" s="146"/>
      <c r="K146" s="27"/>
      <c r="L146" s="144"/>
      <c r="M146" s="148"/>
      <c r="N146" s="152"/>
      <c r="O146" s="153"/>
      <c r="P146" s="36"/>
      <c r="W146" s="21"/>
      <c r="X146" s="22"/>
    </row>
    <row r="147" spans="1:24" s="4" customFormat="1" ht="18" x14ac:dyDescent="0.35">
      <c r="A147" s="150"/>
      <c r="B147" s="108"/>
      <c r="C147" s="27"/>
      <c r="D147" s="148"/>
      <c r="E147" s="144"/>
      <c r="F147" s="144"/>
      <c r="G147" s="27"/>
      <c r="H147" s="27"/>
      <c r="I147" s="57"/>
      <c r="J147" s="27"/>
      <c r="K147" s="148"/>
      <c r="L147" s="154"/>
      <c r="M147" s="148"/>
      <c r="N147" s="152"/>
      <c r="O147" s="153"/>
      <c r="P147" s="36"/>
      <c r="W147" s="21"/>
      <c r="X147" s="22"/>
    </row>
    <row r="148" spans="1:24" s="4" customFormat="1" ht="18" x14ac:dyDescent="0.35">
      <c r="A148" s="129"/>
      <c r="B148" s="155"/>
      <c r="C148" s="27"/>
      <c r="D148" s="129"/>
      <c r="E148" s="144"/>
      <c r="F148" s="321"/>
      <c r="G148" s="321"/>
      <c r="H148" s="27"/>
      <c r="I148" s="148"/>
      <c r="J148" s="27"/>
      <c r="K148" s="148"/>
      <c r="L148" s="322"/>
      <c r="M148" s="322"/>
      <c r="N148" s="322"/>
      <c r="O148" s="322"/>
      <c r="P148" s="36"/>
      <c r="W148" s="21"/>
      <c r="X148" s="22"/>
    </row>
    <row r="149" spans="1:24" s="4" customFormat="1" ht="18" x14ac:dyDescent="0.35">
      <c r="A149" s="129"/>
      <c r="B149" s="155"/>
      <c r="C149" s="156" t="s">
        <v>26</v>
      </c>
      <c r="D149" s="129"/>
      <c r="E149" s="156"/>
      <c r="F149" s="321" t="s">
        <v>50</v>
      </c>
      <c r="G149" s="321"/>
      <c r="H149" s="156"/>
      <c r="I149" s="148"/>
      <c r="J149" s="156" t="s">
        <v>19</v>
      </c>
      <c r="K149" s="148"/>
      <c r="L149" s="322" t="s">
        <v>70</v>
      </c>
      <c r="M149" s="322"/>
      <c r="N149" s="322"/>
      <c r="O149" s="322"/>
      <c r="P149" s="36"/>
      <c r="W149" s="21"/>
      <c r="X149" s="22"/>
    </row>
    <row r="150" spans="1:24" s="27" customFormat="1" ht="18" x14ac:dyDescent="0.35">
      <c r="A150" s="129"/>
      <c r="B150" s="155"/>
      <c r="C150" s="144" t="s">
        <v>29</v>
      </c>
      <c r="D150" s="129"/>
      <c r="E150" s="144"/>
      <c r="F150" s="319" t="s">
        <v>27</v>
      </c>
      <c r="G150" s="319"/>
      <c r="H150" s="144"/>
      <c r="I150" s="148"/>
      <c r="J150" s="144" t="s">
        <v>20</v>
      </c>
      <c r="K150" s="129"/>
      <c r="L150" s="320" t="s">
        <v>25</v>
      </c>
      <c r="M150" s="320"/>
      <c r="N150" s="320"/>
      <c r="O150" s="320"/>
      <c r="P150" s="151"/>
      <c r="W150" s="29"/>
      <c r="X150" s="30"/>
    </row>
    <row r="151" spans="1:24" s="27" customFormat="1" ht="18" x14ac:dyDescent="0.35">
      <c r="A151" s="24"/>
      <c r="B151" s="25"/>
      <c r="C151" s="24"/>
      <c r="D151" s="24"/>
      <c r="E151" s="4"/>
      <c r="F151" s="65"/>
      <c r="G151" s="4"/>
      <c r="H151" s="4"/>
      <c r="I151" s="129"/>
      <c r="J151" s="24"/>
      <c r="K151" s="24"/>
      <c r="L151" s="4"/>
      <c r="M151" s="24"/>
      <c r="N151" s="4"/>
      <c r="O151" s="6"/>
      <c r="P151" s="28"/>
      <c r="W151" s="29"/>
      <c r="X151" s="30"/>
    </row>
    <row r="152" spans="1:24" s="27" customFormat="1" ht="18" x14ac:dyDescent="0.35">
      <c r="A152" s="24"/>
      <c r="B152" s="25"/>
      <c r="C152" s="24"/>
      <c r="D152" s="71"/>
      <c r="E152" s="4"/>
      <c r="F152" s="65"/>
      <c r="G152" s="4"/>
      <c r="H152" s="4"/>
      <c r="I152" s="129"/>
      <c r="J152" s="24"/>
      <c r="K152" s="24"/>
      <c r="L152" s="4"/>
      <c r="M152" s="24"/>
      <c r="N152" s="4"/>
      <c r="O152" s="6"/>
      <c r="P152" s="28"/>
      <c r="W152" s="29"/>
      <c r="X152" s="30"/>
    </row>
    <row r="153" spans="1:24" s="27" customFormat="1" ht="18" x14ac:dyDescent="0.35">
      <c r="A153" s="24"/>
      <c r="B153" s="25"/>
      <c r="C153" s="24"/>
      <c r="D153" s="71"/>
      <c r="E153" s="4"/>
      <c r="F153" s="65"/>
      <c r="G153" s="4"/>
      <c r="H153" s="4"/>
      <c r="I153" s="129"/>
      <c r="J153" s="24"/>
      <c r="K153" s="24"/>
      <c r="L153" s="4"/>
      <c r="M153" s="24"/>
      <c r="N153" s="4"/>
      <c r="O153" s="6"/>
      <c r="P153" s="28"/>
      <c r="W153" s="29"/>
      <c r="X153" s="30"/>
    </row>
    <row r="154" spans="1:24" s="27" customFormat="1" ht="18" x14ac:dyDescent="0.35">
      <c r="A154" s="24"/>
      <c r="B154" s="25"/>
      <c r="C154" s="24"/>
      <c r="D154" s="24"/>
      <c r="E154" s="4"/>
      <c r="F154" s="65"/>
      <c r="G154" s="4"/>
      <c r="H154" s="4"/>
      <c r="I154" s="129"/>
      <c r="J154" s="24"/>
      <c r="K154" s="24"/>
      <c r="L154" s="4"/>
      <c r="M154" s="24"/>
      <c r="N154" s="4"/>
      <c r="O154" s="6"/>
      <c r="P154" s="28"/>
      <c r="W154" s="29"/>
      <c r="X154" s="30"/>
    </row>
    <row r="155" spans="1:24" s="30" customFormat="1" ht="18" x14ac:dyDescent="0.35">
      <c r="A155" s="24"/>
      <c r="B155" s="25"/>
      <c r="C155" s="24"/>
      <c r="D155" s="6"/>
      <c r="E155" s="4"/>
      <c r="F155" s="65"/>
      <c r="G155" s="4"/>
      <c r="H155" s="4"/>
      <c r="I155" s="24"/>
      <c r="J155" s="24"/>
      <c r="K155" s="24"/>
      <c r="L155" s="4"/>
      <c r="M155" s="24"/>
      <c r="N155" s="4"/>
      <c r="O155" s="6"/>
      <c r="P155" s="28"/>
      <c r="Q155" s="27"/>
      <c r="R155" s="27"/>
      <c r="S155" s="27"/>
      <c r="T155" s="27"/>
      <c r="U155" s="27"/>
      <c r="V155" s="27"/>
      <c r="W155" s="29"/>
    </row>
    <row r="156" spans="1:24" s="30" customFormat="1" ht="18" x14ac:dyDescent="0.35">
      <c r="A156" s="24"/>
      <c r="B156" s="25"/>
      <c r="C156" s="24"/>
      <c r="D156" s="24"/>
      <c r="E156" s="4"/>
      <c r="F156" s="65"/>
      <c r="G156" s="4"/>
      <c r="H156" s="4"/>
      <c r="I156" s="24"/>
      <c r="J156" s="24"/>
      <c r="K156" s="24"/>
      <c r="L156" s="4"/>
      <c r="M156" s="24"/>
      <c r="N156" s="4"/>
      <c r="O156" s="6"/>
      <c r="P156" s="28"/>
      <c r="Q156" s="27"/>
      <c r="R156" s="27"/>
      <c r="S156" s="27"/>
      <c r="T156" s="27"/>
      <c r="U156" s="27"/>
      <c r="V156" s="27"/>
      <c r="W156" s="29"/>
    </row>
    <row r="159" spans="1:24" x14ac:dyDescent="0.3">
      <c r="J159" s="104" t="e">
        <v>#REF!</v>
      </c>
    </row>
    <row r="160" spans="1:24" x14ac:dyDescent="0.3">
      <c r="J160" s="105">
        <v>5009848.8319923515</v>
      </c>
    </row>
    <row r="161" spans="10:10" x14ac:dyDescent="0.3">
      <c r="J161" s="104" t="e">
        <f>J159-J160</f>
        <v>#REF!</v>
      </c>
    </row>
  </sheetData>
  <autoFilter ref="B1:O156" xr:uid="{00000000-0009-0000-0000-000000000000}"/>
  <mergeCells count="25">
    <mergeCell ref="P11:W12"/>
    <mergeCell ref="I13:O13"/>
    <mergeCell ref="F150:G150"/>
    <mergeCell ref="L150:O150"/>
    <mergeCell ref="L143:O143"/>
    <mergeCell ref="F144:G144"/>
    <mergeCell ref="L144:O144"/>
    <mergeCell ref="F148:G148"/>
    <mergeCell ref="L148:O148"/>
    <mergeCell ref="F149:G149"/>
    <mergeCell ref="L149:O149"/>
    <mergeCell ref="A141:C141"/>
    <mergeCell ref="A8:H9"/>
    <mergeCell ref="J8:O9"/>
    <mergeCell ref="A11:A12"/>
    <mergeCell ref="B11:B12"/>
    <mergeCell ref="C11:F11"/>
    <mergeCell ref="G11:H11"/>
    <mergeCell ref="I11:I12"/>
    <mergeCell ref="J11:J12"/>
    <mergeCell ref="K11:K12"/>
    <mergeCell ref="L11:L12"/>
    <mergeCell ref="M11:M12"/>
    <mergeCell ref="N11:N12"/>
    <mergeCell ref="O11:O12"/>
  </mergeCells>
  <printOptions horizontalCentered="1"/>
  <pageMargins left="0" right="0" top="0" bottom="0" header="0" footer="0"/>
  <pageSetup paperSize="256" scale="35" orientation="landscape" horizontalDpi="4294967293" verticalDpi="360" r:id="rId1"/>
  <rowBreaks count="1" manualBreakCount="1">
    <brk id="88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A09B-C1AF-4B31-88E8-0E80814F3EB6}">
  <sheetPr codeName="Sheet3">
    <tabColor rgb="FF92D050"/>
    <pageSetUpPr fitToPage="1"/>
  </sheetPr>
  <dimension ref="B1:M47"/>
  <sheetViews>
    <sheetView showGridLines="0" view="pageBreakPreview" zoomScale="85" zoomScaleNormal="85" zoomScaleSheetLayoutView="85" workbookViewId="0">
      <selection activeCell="K32" sqref="K32:K33"/>
    </sheetView>
  </sheetViews>
  <sheetFormatPr defaultColWidth="8.88671875" defaultRowHeight="13.8" x14ac:dyDescent="0.25"/>
  <cols>
    <col min="1" max="1" width="1.6640625" style="241" customWidth="1"/>
    <col min="2" max="2" width="12.6640625" style="241" customWidth="1"/>
    <col min="3" max="3" width="4.109375" style="241" customWidth="1"/>
    <col min="4" max="4" width="41.44140625" style="241" bestFit="1" customWidth="1"/>
    <col min="5" max="6" width="10.6640625" style="241" customWidth="1"/>
    <col min="7" max="7" width="18.6640625" style="241" customWidth="1"/>
    <col min="8" max="8" width="22.6640625" style="241" customWidth="1"/>
    <col min="9" max="10" width="1.6640625" style="241" customWidth="1"/>
    <col min="11" max="11" width="15" style="241" customWidth="1"/>
    <col min="12" max="12" width="19.44140625" style="241" customWidth="1"/>
    <col min="13" max="13" width="12.44140625" style="241" bestFit="1" customWidth="1"/>
    <col min="14" max="14" width="10.109375" style="241" bestFit="1" customWidth="1"/>
    <col min="15" max="16384" width="8.88671875" style="241"/>
  </cols>
  <sheetData>
    <row r="1" spans="2:8" ht="14.4" customHeight="1" x14ac:dyDescent="0.25">
      <c r="B1" s="325"/>
      <c r="C1" s="325"/>
      <c r="D1" s="325"/>
      <c r="E1" s="325"/>
      <c r="F1" s="325"/>
      <c r="G1" s="240"/>
      <c r="H1" s="240"/>
    </row>
    <row r="2" spans="2:8" ht="14.4" customHeight="1" x14ac:dyDescent="0.25">
      <c r="B2" s="239"/>
      <c r="C2" s="239"/>
      <c r="D2" s="239"/>
      <c r="E2" s="239"/>
      <c r="F2" s="239"/>
      <c r="G2" s="240"/>
      <c r="H2" s="240"/>
    </row>
    <row r="3" spans="2:8" ht="14.4" customHeight="1" x14ac:dyDescent="0.25">
      <c r="B3" s="239"/>
      <c r="C3" s="239"/>
      <c r="D3" s="239"/>
      <c r="E3" s="239"/>
      <c r="F3" s="239"/>
      <c r="G3" s="240"/>
      <c r="H3" s="240"/>
    </row>
    <row r="4" spans="2:8" ht="14.4" customHeight="1" x14ac:dyDescent="0.25">
      <c r="B4" s="239"/>
      <c r="C4" s="239"/>
      <c r="D4" s="239"/>
      <c r="E4" s="239"/>
      <c r="F4" s="239"/>
      <c r="G4" s="240"/>
      <c r="H4" s="240"/>
    </row>
    <row r="5" spans="2:8" ht="14.4" customHeight="1" x14ac:dyDescent="0.25">
      <c r="B5" s="239"/>
      <c r="C5" s="239"/>
      <c r="D5" s="239"/>
      <c r="E5" s="239"/>
      <c r="F5" s="239"/>
      <c r="G5" s="240"/>
      <c r="H5" s="240"/>
    </row>
    <row r="6" spans="2:8" ht="69.599999999999994" customHeight="1" x14ac:dyDescent="0.25">
      <c r="B6" s="326" t="s">
        <v>302</v>
      </c>
      <c r="C6" s="326"/>
      <c r="D6" s="326"/>
      <c r="E6" s="326"/>
      <c r="F6" s="326"/>
      <c r="G6" s="326"/>
      <c r="H6" s="326"/>
    </row>
    <row r="7" spans="2:8" ht="14.4" customHeight="1" x14ac:dyDescent="0.25">
      <c r="B7" s="242" t="s">
        <v>303</v>
      </c>
      <c r="C7" s="239" t="s">
        <v>304</v>
      </c>
      <c r="D7" s="242" t="s">
        <v>339</v>
      </c>
      <c r="E7" s="243"/>
      <c r="F7" s="243"/>
      <c r="G7" s="244"/>
      <c r="H7" s="244"/>
    </row>
    <row r="8" spans="2:8" ht="14.4" customHeight="1" x14ac:dyDescent="0.25">
      <c r="B8" s="245" t="s">
        <v>305</v>
      </c>
      <c r="C8" s="239" t="s">
        <v>304</v>
      </c>
      <c r="D8" s="246">
        <v>45688</v>
      </c>
      <c r="H8" s="247"/>
    </row>
    <row r="9" spans="2:8" ht="14.4" customHeight="1" x14ac:dyDescent="0.25">
      <c r="B9" s="245" t="s">
        <v>306</v>
      </c>
      <c r="C9" s="239" t="s">
        <v>304</v>
      </c>
      <c r="D9" s="246">
        <f>D8+30</f>
        <v>45718</v>
      </c>
      <c r="H9" s="247"/>
    </row>
    <row r="10" spans="2:8" ht="14.4" customHeight="1" x14ac:dyDescent="0.25">
      <c r="B10" s="245" t="s">
        <v>307</v>
      </c>
      <c r="C10" s="239" t="s">
        <v>304</v>
      </c>
      <c r="D10" s="245" t="s">
        <v>308</v>
      </c>
      <c r="H10" s="248"/>
    </row>
    <row r="11" spans="2:8" ht="4.95" customHeight="1" x14ac:dyDescent="0.25">
      <c r="B11" s="249"/>
      <c r="C11" s="249"/>
      <c r="D11" s="247"/>
    </row>
    <row r="12" spans="2:8" x14ac:dyDescent="0.25">
      <c r="B12" s="250" t="s">
        <v>309</v>
      </c>
      <c r="C12" s="249"/>
      <c r="D12" s="247"/>
    </row>
    <row r="13" spans="2:8" x14ac:dyDescent="0.25">
      <c r="B13" s="327" t="s">
        <v>199</v>
      </c>
      <c r="C13" s="327"/>
      <c r="D13" s="327"/>
    </row>
    <row r="14" spans="2:8" ht="13.95" customHeight="1" x14ac:dyDescent="0.25">
      <c r="B14" s="328" t="str">
        <f>VLOOKUP($B$13,Daftar!$C$3:$I$35,2,0)</f>
        <v>Tanggul Harapan No.9 Rt.002 Rw.001, Pematang Limau, Kab.Seruyan</v>
      </c>
      <c r="C14" s="328"/>
      <c r="D14" s="328"/>
    </row>
    <row r="15" spans="2:8" x14ac:dyDescent="0.25">
      <c r="B15" s="328"/>
      <c r="C15" s="328"/>
      <c r="D15" s="328"/>
    </row>
    <row r="16" spans="2:8" x14ac:dyDescent="0.25">
      <c r="B16" s="247" t="s">
        <v>194</v>
      </c>
      <c r="C16" s="251" t="s">
        <v>304</v>
      </c>
      <c r="D16" s="247" t="str">
        <f>VLOOKUP($B$13,Daftar!$C$3:$I$35,3,0)</f>
        <v>63.797.965.9-712.000</v>
      </c>
      <c r="H16" s="248"/>
    </row>
    <row r="17" spans="2:13" x14ac:dyDescent="0.25">
      <c r="B17" s="247" t="s">
        <v>195</v>
      </c>
      <c r="C17" s="251" t="s">
        <v>304</v>
      </c>
      <c r="D17" s="247" t="str">
        <f>VLOOKUP($B$13,Daftar!$C$3:$I$35,4,0)</f>
        <v>-</v>
      </c>
      <c r="H17" s="248"/>
    </row>
    <row r="18" spans="2:13" ht="14.4" customHeight="1" x14ac:dyDescent="0.25">
      <c r="B18" s="247"/>
      <c r="C18" s="247"/>
      <c r="D18" s="247"/>
    </row>
    <row r="19" spans="2:13" ht="14.4" customHeight="1" x14ac:dyDescent="0.25">
      <c r="B19" s="247" t="s">
        <v>310</v>
      </c>
      <c r="C19" s="247"/>
      <c r="D19" s="247"/>
    </row>
    <row r="20" spans="2:13" ht="14.4" customHeight="1" x14ac:dyDescent="0.25">
      <c r="B20" s="247" t="s">
        <v>311</v>
      </c>
      <c r="C20" s="247"/>
      <c r="D20" s="247"/>
    </row>
    <row r="21" spans="2:13" ht="4.95" customHeight="1" x14ac:dyDescent="0.25"/>
    <row r="22" spans="2:13" s="251" customFormat="1" ht="14.4" customHeight="1" x14ac:dyDescent="0.25">
      <c r="B22" s="252" t="s">
        <v>191</v>
      </c>
      <c r="C22" s="329" t="s">
        <v>312</v>
      </c>
      <c r="D22" s="330"/>
      <c r="E22" s="252" t="s">
        <v>313</v>
      </c>
      <c r="F22" s="252" t="s">
        <v>314</v>
      </c>
      <c r="G22" s="252" t="s">
        <v>315</v>
      </c>
      <c r="H22" s="252" t="s">
        <v>33</v>
      </c>
    </row>
    <row r="23" spans="2:13" ht="14.4" customHeight="1" x14ac:dyDescent="0.25">
      <c r="B23" s="254">
        <v>1</v>
      </c>
      <c r="C23" s="255" t="s">
        <v>316</v>
      </c>
      <c r="D23" s="256"/>
      <c r="E23" s="254"/>
      <c r="F23" s="254"/>
      <c r="G23" s="257"/>
      <c r="H23" s="257"/>
    </row>
    <row r="24" spans="2:13" ht="14.4" customHeight="1" x14ac:dyDescent="0.25">
      <c r="B24" s="254"/>
      <c r="C24" s="258" t="s">
        <v>317</v>
      </c>
      <c r="D24" s="256" t="s">
        <v>318</v>
      </c>
      <c r="E24" s="254"/>
      <c r="F24" s="254"/>
      <c r="G24" s="259"/>
      <c r="H24" s="260">
        <f>ROUND(SUMIFS('Plasma I 01'!$H$14:$H$112,'Plasma I 01'!$Q$14:$Q$112,Surat_1!D24),0)</f>
        <v>87634124</v>
      </c>
    </row>
    <row r="25" spans="2:13" ht="14.4" customHeight="1" x14ac:dyDescent="0.25">
      <c r="B25" s="254"/>
      <c r="C25" s="258" t="s">
        <v>319</v>
      </c>
      <c r="D25" s="261" t="s">
        <v>320</v>
      </c>
      <c r="E25" s="254"/>
      <c r="F25" s="254"/>
      <c r="G25" s="259"/>
      <c r="H25" s="260">
        <f>ROUND(SUMIFS('Plasma I 01'!$H$14:$H$112,'Plasma I 01'!$Q$14:$Q$112,Surat_1!D25),0)</f>
        <v>48048326</v>
      </c>
    </row>
    <row r="26" spans="2:13" ht="14.4" customHeight="1" x14ac:dyDescent="0.25">
      <c r="B26" s="254"/>
      <c r="C26" s="258" t="s">
        <v>321</v>
      </c>
      <c r="D26" s="261" t="s">
        <v>322</v>
      </c>
      <c r="E26" s="254"/>
      <c r="F26" s="254"/>
      <c r="G26" s="259"/>
      <c r="H26" s="260">
        <f>ROUND(SUMIFS('Plasma I 01'!$H$14:$H$112,'Plasma I 01'!$Q$14:$Q$112,Surat_1!D26),0)</f>
        <v>23646398</v>
      </c>
    </row>
    <row r="27" spans="2:13" ht="14.4" customHeight="1" x14ac:dyDescent="0.25">
      <c r="B27" s="254"/>
      <c r="C27" s="262" t="s">
        <v>323</v>
      </c>
      <c r="D27" s="263" t="s">
        <v>324</v>
      </c>
      <c r="E27" s="264"/>
      <c r="F27" s="264"/>
      <c r="G27" s="259"/>
      <c r="H27" s="260">
        <f>ROUND(SUMIFS('Plasma I 01'!$H$14:$H$112,'Plasma I 01'!$Q$14:$Q$112,Surat_1!D27),0)</f>
        <v>0</v>
      </c>
    </row>
    <row r="28" spans="2:13" ht="14.4" customHeight="1" x14ac:dyDescent="0.25">
      <c r="B28" s="251"/>
      <c r="C28" s="253"/>
      <c r="D28" s="265" t="s">
        <v>325</v>
      </c>
      <c r="E28" s="252"/>
      <c r="F28" s="252"/>
      <c r="G28" s="266"/>
      <c r="H28" s="267">
        <f>SUM(H24:H27)</f>
        <v>159328848</v>
      </c>
      <c r="L28" s="268"/>
    </row>
    <row r="29" spans="2:13" ht="14.4" customHeight="1" x14ac:dyDescent="0.25">
      <c r="B29" s="251"/>
      <c r="C29" s="258"/>
      <c r="D29" s="256" t="s">
        <v>326</v>
      </c>
      <c r="E29" s="269">
        <v>0.05</v>
      </c>
      <c r="F29" s="254"/>
      <c r="G29" s="259"/>
      <c r="H29" s="259">
        <f>ROUND(E29*H28,0)</f>
        <v>7966442</v>
      </c>
      <c r="L29" s="268"/>
      <c r="M29" s="268"/>
    </row>
    <row r="30" spans="2:13" ht="14.4" customHeight="1" x14ac:dyDescent="0.25">
      <c r="B30" s="251"/>
      <c r="C30" s="253"/>
      <c r="D30" s="265" t="s">
        <v>327</v>
      </c>
      <c r="E30" s="252"/>
      <c r="F30" s="252"/>
      <c r="G30" s="267"/>
      <c r="H30" s="267">
        <f>H28+H29</f>
        <v>167295290</v>
      </c>
    </row>
    <row r="31" spans="2:13" s="275" customFormat="1" ht="14.4" customHeight="1" thickBot="1" x14ac:dyDescent="0.3">
      <c r="B31" s="270"/>
      <c r="C31" s="271"/>
      <c r="D31" s="272" t="s">
        <v>341</v>
      </c>
      <c r="E31" s="292" t="s">
        <v>342</v>
      </c>
      <c r="F31" s="273"/>
      <c r="G31" s="274"/>
      <c r="H31" s="274">
        <f>ROUND(H30*11/12,0)</f>
        <v>153354016</v>
      </c>
    </row>
    <row r="32" spans="2:13" ht="14.4" customHeight="1" x14ac:dyDescent="0.25">
      <c r="B32" s="251"/>
      <c r="C32" s="258"/>
      <c r="D32" s="256" t="s">
        <v>343</v>
      </c>
      <c r="E32" s="269">
        <v>0.12</v>
      </c>
      <c r="F32" s="254"/>
      <c r="G32" s="259"/>
      <c r="H32" s="259">
        <f>ROUND(H31*12%,0)</f>
        <v>18402482</v>
      </c>
      <c r="K32" s="294" t="s">
        <v>344</v>
      </c>
    </row>
    <row r="33" spans="2:11" s="277" customFormat="1" ht="14.4" customHeight="1" thickBot="1" x14ac:dyDescent="0.3">
      <c r="B33" s="276"/>
      <c r="C33" s="253"/>
      <c r="D33" s="265" t="s">
        <v>33</v>
      </c>
      <c r="E33" s="252"/>
      <c r="F33" s="252"/>
      <c r="G33" s="267"/>
      <c r="H33" s="267">
        <f>H30+H32</f>
        <v>185697772</v>
      </c>
      <c r="K33" s="293">
        <f>ROUND(H28-'Plasma I 01'!L139,0)</f>
        <v>0</v>
      </c>
    </row>
    <row r="34" spans="2:11" ht="5.0999999999999996" customHeight="1" x14ac:dyDescent="0.25">
      <c r="B34" s="251"/>
      <c r="C34" s="251"/>
      <c r="E34" s="251"/>
      <c r="F34" s="251"/>
      <c r="G34" s="278"/>
      <c r="H34" s="278"/>
    </row>
    <row r="35" spans="2:11" x14ac:dyDescent="0.25">
      <c r="B35" s="277" t="s">
        <v>328</v>
      </c>
      <c r="C35" s="277"/>
      <c r="G35" s="279"/>
      <c r="H35" s="278"/>
    </row>
    <row r="36" spans="2:11" x14ac:dyDescent="0.25">
      <c r="B36" s="331" t="str">
        <f>[1]!terbilang(H33)&amp;" Rupiah"</f>
        <v>Seratus delapan puluh lima juta enam ratus sembilan puluh tujuh ribu tujuh ratus tujuh puluh dua Rupiah</v>
      </c>
      <c r="C36" s="331"/>
      <c r="D36" s="331"/>
      <c r="E36" s="331"/>
      <c r="F36" s="331"/>
      <c r="G36" s="331"/>
      <c r="H36" s="331"/>
    </row>
    <row r="37" spans="2:11" x14ac:dyDescent="0.25">
      <c r="B37" s="331"/>
      <c r="C37" s="331"/>
      <c r="D37" s="331"/>
      <c r="E37" s="331"/>
      <c r="F37" s="331"/>
      <c r="G37" s="331"/>
      <c r="H37" s="331"/>
    </row>
    <row r="38" spans="2:11" ht="14.4" thickBot="1" x14ac:dyDescent="0.3"/>
    <row r="39" spans="2:11" x14ac:dyDescent="0.25">
      <c r="G39" s="280" t="s">
        <v>329</v>
      </c>
      <c r="H39" s="281"/>
    </row>
    <row r="40" spans="2:11" x14ac:dyDescent="0.25">
      <c r="B40" s="277" t="s">
        <v>330</v>
      </c>
      <c r="C40" s="277"/>
      <c r="G40" s="282" t="s">
        <v>331</v>
      </c>
      <c r="H40" s="283"/>
    </row>
    <row r="41" spans="2:11" x14ac:dyDescent="0.25">
      <c r="B41" s="241" t="s">
        <v>332</v>
      </c>
      <c r="G41" s="282" t="s">
        <v>333</v>
      </c>
      <c r="H41" s="283"/>
    </row>
    <row r="42" spans="2:11" ht="15" thickBot="1" x14ac:dyDescent="0.35">
      <c r="B42" s="284" t="s">
        <v>345</v>
      </c>
      <c r="C42" s="285"/>
      <c r="G42" s="286" t="s">
        <v>334</v>
      </c>
      <c r="H42" s="287"/>
    </row>
    <row r="43" spans="2:11" ht="14.4" x14ac:dyDescent="0.3">
      <c r="B43" s="284"/>
      <c r="C43" s="285"/>
    </row>
    <row r="44" spans="2:11" x14ac:dyDescent="0.25">
      <c r="G44" s="323" t="s">
        <v>335</v>
      </c>
      <c r="H44" s="323"/>
    </row>
    <row r="45" spans="2:11" ht="77.25" customHeight="1" x14ac:dyDescent="0.25">
      <c r="G45" s="324"/>
      <c r="H45" s="324"/>
    </row>
    <row r="46" spans="2:11" x14ac:dyDescent="0.25">
      <c r="G46" s="323" t="s">
        <v>336</v>
      </c>
      <c r="H46" s="323"/>
    </row>
    <row r="47" spans="2:11" x14ac:dyDescent="0.25">
      <c r="G47" s="323" t="s">
        <v>337</v>
      </c>
      <c r="H47" s="323"/>
    </row>
  </sheetData>
  <mergeCells count="10">
    <mergeCell ref="G44:H44"/>
    <mergeCell ref="G45:H45"/>
    <mergeCell ref="G46:H46"/>
    <mergeCell ref="G47:H47"/>
    <mergeCell ref="B1:F1"/>
    <mergeCell ref="B6:H6"/>
    <mergeCell ref="B13:D13"/>
    <mergeCell ref="B14:D15"/>
    <mergeCell ref="C22:D22"/>
    <mergeCell ref="B36:H37"/>
  </mergeCells>
  <hyperlinks>
    <hyperlink ref="B42" r:id="rId1" xr:uid="{3AE82954-B17A-46E4-B0D6-8FAAEC434517}"/>
  </hyperlinks>
  <printOptions horizontalCentered="1"/>
  <pageMargins left="0.78740157480314965" right="0.78740157480314965" top="0.59055118110236227" bottom="0.78740157480314965" header="0.31496062992125984" footer="0.31496062992125984"/>
  <pageSetup paperSize="9" scale="70" fitToHeight="0" orientation="portrait" horizontalDpi="4294967293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F1EDE99-FBDC-49D3-A41B-65C00D683618}">
          <x14:formula1>
            <xm:f>Daftar!$C$3:$C$35</xm:f>
          </x14:formula1>
          <xm:sqref>B13:D13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6" tint="-0.499984740745262"/>
  </sheetPr>
  <dimension ref="A1:Z131"/>
  <sheetViews>
    <sheetView view="pageBreakPreview" topLeftCell="A74" zoomScale="50" zoomScaleNormal="50" zoomScaleSheetLayoutView="50" workbookViewId="0">
      <selection activeCell="G106" sqref="G106"/>
    </sheetView>
  </sheetViews>
  <sheetFormatPr defaultColWidth="9.109375" defaultRowHeight="15.6" x14ac:dyDescent="0.3"/>
  <cols>
    <col min="1" max="2" width="9.109375" style="22"/>
    <col min="3" max="3" width="5.109375" style="24" customWidth="1"/>
    <col min="4" max="4" width="16.5546875" style="25" customWidth="1"/>
    <col min="5" max="5" width="23.5546875" style="24" customWidth="1"/>
    <col min="6" max="6" width="107.109375" style="24" customWidth="1"/>
    <col min="7" max="7" width="15.44140625" style="4" customWidth="1"/>
    <col min="8" max="8" width="7.109375" style="65" customWidth="1"/>
    <col min="9" max="9" width="20" style="4" customWidth="1"/>
    <col min="10" max="10" width="21.88671875" style="4" bestFit="1" customWidth="1"/>
    <col min="11" max="11" width="8.5546875" style="24" customWidth="1"/>
    <col min="12" max="12" width="80.6640625" style="24" customWidth="1"/>
    <col min="13" max="13" width="12.109375" style="24" customWidth="1"/>
    <col min="14" max="14" width="20.5546875" style="4" bestFit="1" customWidth="1"/>
    <col min="15" max="15" width="8.33203125" style="24" customWidth="1"/>
    <col min="16" max="16" width="19.44140625" style="4" customWidth="1"/>
    <col min="17" max="17" width="20.5546875" style="6" bestFit="1" customWidth="1"/>
    <col min="18" max="18" width="20.33203125" style="20" bestFit="1" customWidth="1"/>
    <col min="19" max="19" width="20.33203125" style="4" bestFit="1" customWidth="1"/>
    <col min="20" max="20" width="18.88671875" style="4" bestFit="1" customWidth="1"/>
    <col min="21" max="21" width="14" style="4" bestFit="1" customWidth="1"/>
    <col min="22" max="24" width="13" style="4" bestFit="1" customWidth="1"/>
    <col min="25" max="25" width="16" style="21" bestFit="1" customWidth="1"/>
    <col min="26" max="26" width="12.109375" style="22" bestFit="1" customWidth="1"/>
    <col min="27" max="16384" width="9.109375" style="22"/>
  </cols>
  <sheetData>
    <row r="1" spans="1:25" x14ac:dyDescent="0.3">
      <c r="C1" s="1"/>
      <c r="D1" s="3"/>
      <c r="E1" s="2"/>
      <c r="F1" s="2"/>
      <c r="H1" s="58"/>
      <c r="K1" s="2"/>
      <c r="L1" s="2"/>
      <c r="M1" s="2"/>
      <c r="N1" s="73"/>
      <c r="O1" s="2"/>
      <c r="P1" s="5"/>
    </row>
    <row r="2" spans="1:25" x14ac:dyDescent="0.3">
      <c r="C2" s="1"/>
      <c r="D2" s="3"/>
      <c r="E2" s="2"/>
      <c r="F2" s="2"/>
      <c r="H2" s="58"/>
      <c r="K2" s="2"/>
      <c r="L2" s="2"/>
      <c r="M2" s="2"/>
      <c r="N2" s="73"/>
      <c r="O2" s="2"/>
      <c r="P2" s="5"/>
    </row>
    <row r="3" spans="1:25" x14ac:dyDescent="0.3">
      <c r="C3" s="58"/>
      <c r="D3" s="3"/>
      <c r="E3" s="2"/>
      <c r="F3" s="2"/>
      <c r="H3" s="58"/>
      <c r="K3" s="2"/>
      <c r="L3" s="2"/>
      <c r="M3" s="2"/>
      <c r="N3" s="73"/>
      <c r="O3" s="2"/>
      <c r="P3" s="5"/>
    </row>
    <row r="4" spans="1:25" x14ac:dyDescent="0.3">
      <c r="C4" s="7"/>
      <c r="D4" s="8"/>
      <c r="E4" s="7"/>
      <c r="F4" s="7"/>
      <c r="G4" s="7"/>
      <c r="H4" s="64"/>
      <c r="I4" s="7"/>
      <c r="J4" s="9"/>
      <c r="K4" s="10"/>
      <c r="L4" s="7"/>
      <c r="M4" s="7"/>
      <c r="N4" s="7"/>
      <c r="O4" s="7"/>
      <c r="P4" s="7"/>
      <c r="Q4" s="7"/>
    </row>
    <row r="5" spans="1:25" x14ac:dyDescent="0.3">
      <c r="C5" s="7"/>
      <c r="D5" s="8"/>
      <c r="E5" s="7"/>
      <c r="F5" s="7"/>
      <c r="G5" s="7"/>
      <c r="H5" s="64"/>
      <c r="I5" s="7"/>
      <c r="J5" s="9"/>
      <c r="K5" s="10"/>
      <c r="L5" s="7"/>
      <c r="M5" s="7"/>
      <c r="N5" s="7"/>
      <c r="O5" s="7"/>
      <c r="P5" s="7"/>
      <c r="Q5" s="7"/>
    </row>
    <row r="6" spans="1:25" x14ac:dyDescent="0.3">
      <c r="C6" s="7"/>
      <c r="D6" s="8"/>
      <c r="E6" s="7"/>
      <c r="F6" s="7"/>
      <c r="G6" s="7"/>
      <c r="H6" s="64"/>
      <c r="I6" s="7"/>
      <c r="J6" s="9"/>
      <c r="K6" s="10"/>
      <c r="L6" s="7"/>
      <c r="M6" s="7"/>
      <c r="N6" s="7"/>
      <c r="O6" s="7"/>
      <c r="P6" s="7"/>
      <c r="Q6" s="7"/>
    </row>
    <row r="7" spans="1:25" x14ac:dyDescent="0.3">
      <c r="C7" s="7"/>
      <c r="D7" s="8"/>
      <c r="E7" s="7"/>
      <c r="F7" s="7"/>
      <c r="G7" s="7"/>
      <c r="H7" s="64"/>
      <c r="I7" s="7"/>
      <c r="J7" s="9"/>
      <c r="K7" s="10"/>
      <c r="L7" s="7"/>
      <c r="M7" s="7"/>
      <c r="N7" s="7"/>
      <c r="O7" s="7"/>
      <c r="P7" s="7"/>
      <c r="Q7" s="7"/>
    </row>
    <row r="8" spans="1:25" s="30" customFormat="1" ht="18" x14ac:dyDescent="0.35">
      <c r="C8" s="297" t="s">
        <v>186</v>
      </c>
      <c r="D8" s="297"/>
      <c r="E8" s="297"/>
      <c r="F8" s="297"/>
      <c r="G8" s="297"/>
      <c r="H8" s="297"/>
      <c r="I8" s="297"/>
      <c r="J8" s="297"/>
      <c r="K8" s="26"/>
      <c r="L8" s="297" t="s">
        <v>0</v>
      </c>
      <c r="M8" s="297"/>
      <c r="N8" s="297"/>
      <c r="O8" s="297"/>
      <c r="P8" s="297"/>
      <c r="Q8" s="297"/>
      <c r="R8" s="28"/>
      <c r="S8" s="27"/>
      <c r="T8" s="27"/>
      <c r="U8" s="27"/>
      <c r="V8" s="27"/>
      <c r="W8" s="27"/>
      <c r="X8" s="27"/>
      <c r="Y8" s="29"/>
    </row>
    <row r="9" spans="1:25" s="30" customFormat="1" ht="18" x14ac:dyDescent="0.35">
      <c r="C9" s="297"/>
      <c r="D9" s="297"/>
      <c r="E9" s="297"/>
      <c r="F9" s="297"/>
      <c r="G9" s="297"/>
      <c r="H9" s="297"/>
      <c r="I9" s="297"/>
      <c r="J9" s="297"/>
      <c r="K9" s="26"/>
      <c r="L9" s="297"/>
      <c r="M9" s="297"/>
      <c r="N9" s="297"/>
      <c r="O9" s="297"/>
      <c r="P9" s="297"/>
      <c r="Q9" s="297"/>
      <c r="R9" s="28"/>
      <c r="S9" s="27"/>
      <c r="T9" s="27"/>
      <c r="U9" s="27"/>
      <c r="V9" s="27"/>
      <c r="W9" s="27"/>
      <c r="X9" s="27"/>
      <c r="Y9" s="29"/>
    </row>
    <row r="10" spans="1:25" ht="16.2" thickBot="1" x14ac:dyDescent="0.35">
      <c r="C10" s="58"/>
      <c r="D10" s="3"/>
      <c r="E10" s="2"/>
      <c r="F10" s="2"/>
      <c r="H10" s="58"/>
      <c r="K10" s="2"/>
      <c r="L10" s="2"/>
      <c r="M10" s="2"/>
      <c r="N10" s="73"/>
      <c r="O10" s="2"/>
      <c r="P10" s="5"/>
    </row>
    <row r="11" spans="1:25" ht="16.5" customHeight="1" thickTop="1" x14ac:dyDescent="0.3">
      <c r="C11" s="298" t="s">
        <v>1</v>
      </c>
      <c r="D11" s="300" t="s">
        <v>2</v>
      </c>
      <c r="E11" s="302" t="s">
        <v>3</v>
      </c>
      <c r="F11" s="303"/>
      <c r="G11" s="303"/>
      <c r="H11" s="304"/>
      <c r="I11" s="305" t="s">
        <v>4</v>
      </c>
      <c r="J11" s="306"/>
      <c r="K11" s="307" t="s">
        <v>5</v>
      </c>
      <c r="L11" s="298" t="s">
        <v>6</v>
      </c>
      <c r="M11" s="300" t="s">
        <v>2</v>
      </c>
      <c r="N11" s="309" t="s">
        <v>7</v>
      </c>
      <c r="O11" s="311" t="s">
        <v>8</v>
      </c>
      <c r="P11" s="309" t="s">
        <v>4</v>
      </c>
      <c r="Q11" s="313" t="s">
        <v>9</v>
      </c>
      <c r="R11" s="315"/>
      <c r="S11" s="315"/>
      <c r="T11" s="315"/>
      <c r="U11" s="315"/>
      <c r="V11" s="315"/>
      <c r="W11" s="315"/>
      <c r="X11" s="315"/>
      <c r="Y11" s="315"/>
    </row>
    <row r="12" spans="1:25" ht="16.2" thickBot="1" x14ac:dyDescent="0.35">
      <c r="C12" s="299"/>
      <c r="D12" s="301"/>
      <c r="E12" s="67" t="s">
        <v>10</v>
      </c>
      <c r="F12" s="67" t="s">
        <v>11</v>
      </c>
      <c r="G12" s="68" t="s">
        <v>12</v>
      </c>
      <c r="H12" s="67" t="s">
        <v>8</v>
      </c>
      <c r="I12" s="68" t="s">
        <v>13</v>
      </c>
      <c r="J12" s="69" t="s">
        <v>12</v>
      </c>
      <c r="K12" s="308"/>
      <c r="L12" s="299"/>
      <c r="M12" s="301"/>
      <c r="N12" s="310"/>
      <c r="O12" s="312"/>
      <c r="P12" s="310"/>
      <c r="Q12" s="314"/>
      <c r="R12" s="315"/>
      <c r="S12" s="315"/>
      <c r="T12" s="315"/>
      <c r="U12" s="315"/>
      <c r="V12" s="315"/>
      <c r="W12" s="315"/>
      <c r="X12" s="315"/>
      <c r="Y12" s="315"/>
    </row>
    <row r="13" spans="1:25" ht="16.2" thickTop="1" x14ac:dyDescent="0.3">
      <c r="C13" s="39"/>
      <c r="D13" s="41"/>
      <c r="E13" s="40"/>
      <c r="F13" s="40"/>
      <c r="G13" s="11"/>
      <c r="H13" s="40"/>
      <c r="I13" s="11"/>
      <c r="J13" s="12"/>
      <c r="K13" s="316" t="s">
        <v>14</v>
      </c>
      <c r="L13" s="317"/>
      <c r="M13" s="317"/>
      <c r="N13" s="317"/>
      <c r="O13" s="317"/>
      <c r="P13" s="317"/>
      <c r="Q13" s="318"/>
      <c r="R13" s="31"/>
      <c r="S13" s="32"/>
      <c r="T13" s="33"/>
      <c r="U13" s="33"/>
      <c r="V13" s="33"/>
      <c r="W13" s="33"/>
      <c r="X13" s="33"/>
      <c r="Y13" s="34"/>
    </row>
    <row r="14" spans="1:25" s="30" customFormat="1" ht="18" x14ac:dyDescent="0.35">
      <c r="A14" s="30" t="s">
        <v>320</v>
      </c>
      <c r="C14" s="106">
        <v>1</v>
      </c>
      <c r="D14" s="107" t="s">
        <v>60</v>
      </c>
      <c r="E14" s="107" t="s">
        <v>88</v>
      </c>
      <c r="F14" s="108" t="s">
        <v>68</v>
      </c>
      <c r="G14" s="109">
        <v>17.066979800000002</v>
      </c>
      <c r="H14" s="110" t="s">
        <v>56</v>
      </c>
      <c r="I14" s="111">
        <v>31847.726343837578</v>
      </c>
      <c r="J14" s="171">
        <f>+G14*I14</f>
        <v>543544.50218620384</v>
      </c>
      <c r="K14" s="113">
        <f t="shared" ref="K14:K77" si="0">C14</f>
        <v>1</v>
      </c>
      <c r="L14" s="108" t="str">
        <f>F14</f>
        <v>Supremo</v>
      </c>
      <c r="M14" s="114" t="str">
        <f>+D14</f>
        <v>Plasma II</v>
      </c>
      <c r="N14" s="115">
        <f>SUMIFS($G$14:$G$166,$F$14:$F$166,L14,$D$14:$D$166,M14)</f>
        <v>17.066979800000002</v>
      </c>
      <c r="O14" s="116" t="str">
        <f t="shared" ref="O14" si="1">+H14</f>
        <v>Ltr</v>
      </c>
      <c r="P14" s="115">
        <f t="shared" ref="P14" si="2">Q14/N14</f>
        <v>31847.726343837578</v>
      </c>
      <c r="Q14" s="117">
        <f>SUMIFS($J$14:$J$166,$F$14:$F$166,L14,$D$14:$D$166,M14)</f>
        <v>543544.50218620384</v>
      </c>
      <c r="R14" s="118">
        <f>J14-Q14</f>
        <v>0</v>
      </c>
      <c r="S14" s="27"/>
      <c r="T14" s="27"/>
      <c r="U14" s="27"/>
      <c r="V14" s="27"/>
      <c r="W14" s="27"/>
      <c r="X14" s="27"/>
      <c r="Y14" s="29"/>
    </row>
    <row r="15" spans="1:25" s="30" customFormat="1" ht="18" x14ac:dyDescent="0.35">
      <c r="A15" s="30" t="s">
        <v>320</v>
      </c>
      <c r="C15" s="106">
        <f>C14+1</f>
        <v>2</v>
      </c>
      <c r="D15" s="107" t="s">
        <v>60</v>
      </c>
      <c r="E15" s="107" t="s">
        <v>88</v>
      </c>
      <c r="F15" s="108" t="s">
        <v>85</v>
      </c>
      <c r="G15" s="109">
        <v>3.0274999999999999</v>
      </c>
      <c r="H15" s="110" t="s">
        <v>56</v>
      </c>
      <c r="I15" s="111">
        <v>28711.794766440496</v>
      </c>
      <c r="J15" s="171">
        <f t="shared" ref="J15:J21" si="3">+G15*I15</f>
        <v>86924.958655398601</v>
      </c>
      <c r="K15" s="113">
        <f t="shared" si="0"/>
        <v>2</v>
      </c>
      <c r="L15" s="108" t="str">
        <f t="shared" ref="L15:L50" si="4">F15</f>
        <v>Supretox</v>
      </c>
      <c r="M15" s="114" t="str">
        <f t="shared" ref="M15:M78" si="5">+D15</f>
        <v>Plasma II</v>
      </c>
      <c r="N15" s="115">
        <f t="shared" ref="N15:N78" si="6">SUMIFS($G$14:$G$166,$F$14:$F$166,L15,$D$14:$D$166,M15)</f>
        <v>3.0274999999999999</v>
      </c>
      <c r="O15" s="116" t="str">
        <f t="shared" ref="O15:O50" si="7">+H15</f>
        <v>Ltr</v>
      </c>
      <c r="P15" s="115">
        <f t="shared" ref="P15:P75" si="8">Q15/N15</f>
        <v>28711.794766440496</v>
      </c>
      <c r="Q15" s="117">
        <f t="shared" ref="Q15:Q78" si="9">SUMIFS($J$14:$J$166,$F$14:$F$166,L15,$D$14:$D$166,M15)</f>
        <v>86924.958655398601</v>
      </c>
      <c r="R15" s="118">
        <f t="shared" ref="R15:R50" si="10">J15-Q15</f>
        <v>0</v>
      </c>
      <c r="S15" s="27"/>
      <c r="T15" s="27"/>
      <c r="U15" s="27"/>
      <c r="V15" s="27"/>
      <c r="W15" s="27"/>
      <c r="X15" s="27"/>
      <c r="Y15" s="119"/>
    </row>
    <row r="16" spans="1:25" s="30" customFormat="1" ht="18" x14ac:dyDescent="0.35">
      <c r="A16" s="30" t="s">
        <v>320</v>
      </c>
      <c r="C16" s="106">
        <f t="shared" ref="C16:C79" si="11">C15+1</f>
        <v>3</v>
      </c>
      <c r="D16" s="107" t="s">
        <v>60</v>
      </c>
      <c r="E16" s="107" t="s">
        <v>88</v>
      </c>
      <c r="F16" s="108" t="s">
        <v>69</v>
      </c>
      <c r="G16" s="109">
        <v>915.47530000000006</v>
      </c>
      <c r="H16" s="110" t="s">
        <v>87</v>
      </c>
      <c r="I16" s="111">
        <v>85.565857407022975</v>
      </c>
      <c r="J16" s="171">
        <f t="shared" si="3"/>
        <v>78333.428979451579</v>
      </c>
      <c r="K16" s="113">
        <f t="shared" si="0"/>
        <v>3</v>
      </c>
      <c r="L16" s="108" t="str">
        <f t="shared" si="4"/>
        <v>Trendy</v>
      </c>
      <c r="M16" s="114" t="str">
        <f t="shared" si="5"/>
        <v>Plasma II</v>
      </c>
      <c r="N16" s="115">
        <f t="shared" si="6"/>
        <v>915.47530000000006</v>
      </c>
      <c r="O16" s="116" t="str">
        <f t="shared" si="7"/>
        <v>Gr</v>
      </c>
      <c r="P16" s="115">
        <f t="shared" si="8"/>
        <v>85.565857407022975</v>
      </c>
      <c r="Q16" s="117">
        <f t="shared" si="9"/>
        <v>78333.428979451579</v>
      </c>
      <c r="R16" s="118">
        <f t="shared" si="10"/>
        <v>0</v>
      </c>
      <c r="S16" s="27"/>
      <c r="T16" s="27"/>
      <c r="U16" s="27"/>
      <c r="V16" s="27"/>
      <c r="W16" s="27"/>
      <c r="X16" s="27"/>
      <c r="Y16" s="119"/>
    </row>
    <row r="17" spans="1:25" s="30" customFormat="1" ht="18" x14ac:dyDescent="0.35">
      <c r="A17" s="30" t="s">
        <v>320</v>
      </c>
      <c r="C17" s="106">
        <f t="shared" si="11"/>
        <v>4</v>
      </c>
      <c r="D17" s="107" t="s">
        <v>60</v>
      </c>
      <c r="E17" s="107" t="s">
        <v>88</v>
      </c>
      <c r="F17" s="108" t="s">
        <v>83</v>
      </c>
      <c r="G17" s="109">
        <v>968.8</v>
      </c>
      <c r="H17" s="110" t="s">
        <v>84</v>
      </c>
      <c r="I17" s="111">
        <v>124.13863827364811</v>
      </c>
      <c r="J17" s="171">
        <f t="shared" si="3"/>
        <v>120265.51275951028</v>
      </c>
      <c r="K17" s="113">
        <f t="shared" si="0"/>
        <v>4</v>
      </c>
      <c r="L17" s="108" t="str">
        <f t="shared" si="4"/>
        <v>Triester</v>
      </c>
      <c r="M17" s="114" t="str">
        <f t="shared" si="5"/>
        <v>Plasma II</v>
      </c>
      <c r="N17" s="115">
        <f t="shared" si="6"/>
        <v>968.8</v>
      </c>
      <c r="O17" s="116" t="str">
        <f t="shared" si="7"/>
        <v>Cc</v>
      </c>
      <c r="P17" s="115">
        <f t="shared" si="8"/>
        <v>124.13863827364811</v>
      </c>
      <c r="Q17" s="117">
        <f t="shared" si="9"/>
        <v>120265.51275951028</v>
      </c>
      <c r="R17" s="118">
        <f t="shared" si="10"/>
        <v>0</v>
      </c>
      <c r="S17" s="27"/>
      <c r="T17" s="27"/>
      <c r="U17" s="27"/>
      <c r="V17" s="27"/>
      <c r="W17" s="27"/>
      <c r="X17" s="27"/>
      <c r="Y17" s="119"/>
    </row>
    <row r="18" spans="1:25" s="30" customFormat="1" ht="18" x14ac:dyDescent="0.35">
      <c r="A18" s="30" t="s">
        <v>320</v>
      </c>
      <c r="C18" s="106">
        <f t="shared" si="11"/>
        <v>5</v>
      </c>
      <c r="D18" s="107" t="s">
        <v>60</v>
      </c>
      <c r="E18" s="107" t="s">
        <v>88</v>
      </c>
      <c r="F18" s="108" t="s">
        <v>90</v>
      </c>
      <c r="G18" s="109">
        <v>10.700235000000001</v>
      </c>
      <c r="H18" s="110" t="s">
        <v>56</v>
      </c>
      <c r="I18" s="111">
        <v>33983.365780438711</v>
      </c>
      <c r="J18" s="171">
        <f t="shared" si="3"/>
        <v>363629.99994165264</v>
      </c>
      <c r="K18" s="113">
        <f t="shared" si="0"/>
        <v>5</v>
      </c>
      <c r="L18" s="108" t="str">
        <f t="shared" si="4"/>
        <v>Weed.Solution</v>
      </c>
      <c r="M18" s="114" t="str">
        <f t="shared" si="5"/>
        <v>Plasma II</v>
      </c>
      <c r="N18" s="115">
        <f t="shared" si="6"/>
        <v>10.700235000000001</v>
      </c>
      <c r="O18" s="116" t="str">
        <f t="shared" si="7"/>
        <v>Ltr</v>
      </c>
      <c r="P18" s="115">
        <f t="shared" si="8"/>
        <v>33983.365780438711</v>
      </c>
      <c r="Q18" s="117">
        <f t="shared" si="9"/>
        <v>363629.99994165264</v>
      </c>
      <c r="R18" s="118">
        <f t="shared" si="10"/>
        <v>0</v>
      </c>
      <c r="S18" s="27"/>
      <c r="T18" s="27"/>
      <c r="U18" s="27"/>
      <c r="V18" s="27"/>
      <c r="W18" s="27"/>
      <c r="X18" s="27"/>
      <c r="Y18" s="119"/>
    </row>
    <row r="19" spans="1:25" s="30" customFormat="1" ht="18" x14ac:dyDescent="0.35">
      <c r="A19" s="30" t="s">
        <v>320</v>
      </c>
      <c r="C19" s="106">
        <f t="shared" si="11"/>
        <v>6</v>
      </c>
      <c r="D19" s="107" t="s">
        <v>60</v>
      </c>
      <c r="E19" s="107" t="s">
        <v>88</v>
      </c>
      <c r="F19" s="108" t="s">
        <v>120</v>
      </c>
      <c r="G19" s="192">
        <v>5.91E-2</v>
      </c>
      <c r="H19" s="110" t="s">
        <v>113</v>
      </c>
      <c r="I19" s="111">
        <v>6960000</v>
      </c>
      <c r="J19" s="171">
        <f t="shared" ref="J19" si="12">+G19*I19</f>
        <v>411336</v>
      </c>
      <c r="K19" s="113">
        <f t="shared" si="0"/>
        <v>6</v>
      </c>
      <c r="L19" s="108" t="str">
        <f t="shared" si="4"/>
        <v>POMPA TRANSFER BBM FLOWMETER DIGITAL SOLAR AC 220V</v>
      </c>
      <c r="M19" s="114" t="str">
        <f t="shared" si="5"/>
        <v>Plasma II</v>
      </c>
      <c r="N19" s="115">
        <f t="shared" si="6"/>
        <v>5.91E-2</v>
      </c>
      <c r="O19" s="116" t="str">
        <f t="shared" si="7"/>
        <v>UNIT</v>
      </c>
      <c r="P19" s="115">
        <f t="shared" si="8"/>
        <v>6960000</v>
      </c>
      <c r="Q19" s="117">
        <f t="shared" si="9"/>
        <v>411336</v>
      </c>
      <c r="R19" s="118">
        <f t="shared" si="10"/>
        <v>0</v>
      </c>
      <c r="S19" s="27"/>
      <c r="T19" s="27"/>
      <c r="U19" s="27"/>
      <c r="V19" s="27"/>
      <c r="W19" s="27"/>
      <c r="X19" s="27"/>
      <c r="Y19" s="119"/>
    </row>
    <row r="20" spans="1:25" s="30" customFormat="1" ht="18" x14ac:dyDescent="0.35">
      <c r="A20" s="30" t="s">
        <v>320</v>
      </c>
      <c r="C20" s="106">
        <f t="shared" si="11"/>
        <v>7</v>
      </c>
      <c r="D20" s="107" t="s">
        <v>60</v>
      </c>
      <c r="E20" s="107" t="s">
        <v>88</v>
      </c>
      <c r="F20" s="108" t="s">
        <v>187</v>
      </c>
      <c r="G20" s="192">
        <v>0.17730000000000001</v>
      </c>
      <c r="H20" s="110" t="s">
        <v>113</v>
      </c>
      <c r="I20" s="111">
        <v>350000</v>
      </c>
      <c r="J20" s="171">
        <f t="shared" si="3"/>
        <v>62055.000000000007</v>
      </c>
      <c r="K20" s="113">
        <f t="shared" si="0"/>
        <v>7</v>
      </c>
      <c r="L20" s="108" t="str">
        <f t="shared" si="4"/>
        <v>KIPAS ANGIN BERDIRI</v>
      </c>
      <c r="M20" s="114" t="str">
        <f t="shared" si="5"/>
        <v>Plasma II</v>
      </c>
      <c r="N20" s="115">
        <f t="shared" si="6"/>
        <v>0.17730000000000001</v>
      </c>
      <c r="O20" s="116" t="str">
        <f t="shared" si="7"/>
        <v>UNIT</v>
      </c>
      <c r="P20" s="115">
        <f t="shared" si="8"/>
        <v>350000</v>
      </c>
      <c r="Q20" s="117">
        <f t="shared" si="9"/>
        <v>62055.000000000007</v>
      </c>
      <c r="R20" s="118">
        <f t="shared" si="10"/>
        <v>0</v>
      </c>
      <c r="S20" s="27"/>
      <c r="T20" s="27"/>
      <c r="U20" s="27"/>
      <c r="V20" s="27"/>
      <c r="W20" s="27"/>
      <c r="X20" s="27"/>
      <c r="Y20" s="119"/>
    </row>
    <row r="21" spans="1:25" s="30" customFormat="1" ht="18" x14ac:dyDescent="0.35">
      <c r="A21" s="30" t="s">
        <v>320</v>
      </c>
      <c r="C21" s="106">
        <f t="shared" si="11"/>
        <v>8</v>
      </c>
      <c r="D21" s="107" t="s">
        <v>60</v>
      </c>
      <c r="E21" s="107" t="s">
        <v>88</v>
      </c>
      <c r="F21" s="176" t="s">
        <v>188</v>
      </c>
      <c r="G21" s="192">
        <v>5.91E-2</v>
      </c>
      <c r="H21" s="157" t="s">
        <v>113</v>
      </c>
      <c r="I21" s="111">
        <v>1650000</v>
      </c>
      <c r="J21" s="171">
        <f t="shared" si="3"/>
        <v>97515</v>
      </c>
      <c r="K21" s="113">
        <f t="shared" si="0"/>
        <v>8</v>
      </c>
      <c r="L21" s="108" t="str">
        <f t="shared" si="4"/>
        <v>TV LED 24" SHARF</v>
      </c>
      <c r="M21" s="114" t="str">
        <f t="shared" si="5"/>
        <v>Plasma II</v>
      </c>
      <c r="N21" s="115">
        <f t="shared" si="6"/>
        <v>5.91E-2</v>
      </c>
      <c r="O21" s="116" t="str">
        <f t="shared" si="7"/>
        <v>UNIT</v>
      </c>
      <c r="P21" s="115">
        <f t="shared" si="8"/>
        <v>1650000</v>
      </c>
      <c r="Q21" s="117">
        <f t="shared" si="9"/>
        <v>97515</v>
      </c>
      <c r="R21" s="118">
        <f t="shared" si="10"/>
        <v>0</v>
      </c>
      <c r="S21" s="27"/>
      <c r="T21" s="27"/>
      <c r="U21" s="27"/>
      <c r="V21" s="27"/>
      <c r="W21" s="27"/>
      <c r="X21" s="27"/>
      <c r="Y21" s="119"/>
    </row>
    <row r="22" spans="1:25" s="30" customFormat="1" ht="18" x14ac:dyDescent="0.35">
      <c r="A22" s="30" t="s">
        <v>320</v>
      </c>
      <c r="C22" s="106">
        <f t="shared" si="11"/>
        <v>9</v>
      </c>
      <c r="D22" s="107" t="s">
        <v>60</v>
      </c>
      <c r="E22" s="107" t="s">
        <v>88</v>
      </c>
      <c r="F22" s="176" t="s">
        <v>189</v>
      </c>
      <c r="G22" s="192">
        <v>5.91E-2</v>
      </c>
      <c r="H22" s="157" t="s">
        <v>113</v>
      </c>
      <c r="I22" s="111">
        <v>850000</v>
      </c>
      <c r="J22" s="171">
        <f>G22*I22</f>
        <v>50235</v>
      </c>
      <c r="K22" s="113">
        <f t="shared" si="0"/>
        <v>9</v>
      </c>
      <c r="L22" s="108" t="str">
        <f t="shared" si="4"/>
        <v>K. VISION SET PAYUNG</v>
      </c>
      <c r="M22" s="114" t="str">
        <f t="shared" si="5"/>
        <v>Plasma II</v>
      </c>
      <c r="N22" s="115">
        <f t="shared" si="6"/>
        <v>5.91E-2</v>
      </c>
      <c r="O22" s="116" t="str">
        <f t="shared" si="7"/>
        <v>UNIT</v>
      </c>
      <c r="P22" s="115">
        <f t="shared" si="8"/>
        <v>850000</v>
      </c>
      <c r="Q22" s="117">
        <f t="shared" si="9"/>
        <v>50235</v>
      </c>
      <c r="R22" s="118">
        <f t="shared" si="10"/>
        <v>0</v>
      </c>
      <c r="S22" s="27"/>
      <c r="T22" s="27"/>
      <c r="U22" s="27"/>
      <c r="V22" s="27"/>
      <c r="W22" s="27"/>
      <c r="X22" s="27"/>
      <c r="Y22" s="119"/>
    </row>
    <row r="23" spans="1:25" s="30" customFormat="1" ht="18" x14ac:dyDescent="0.35">
      <c r="A23" s="30" t="s">
        <v>320</v>
      </c>
      <c r="C23" s="106">
        <f t="shared" si="11"/>
        <v>10</v>
      </c>
      <c r="D23" s="107" t="s">
        <v>60</v>
      </c>
      <c r="E23" s="107" t="s">
        <v>88</v>
      </c>
      <c r="F23" s="108" t="s">
        <v>121</v>
      </c>
      <c r="G23" s="109">
        <v>0.1182</v>
      </c>
      <c r="H23" s="157" t="s">
        <v>101</v>
      </c>
      <c r="I23" s="111">
        <v>160000</v>
      </c>
      <c r="J23" s="171">
        <f t="shared" ref="J23:J60" si="13">G23*I23</f>
        <v>18912</v>
      </c>
      <c r="K23" s="113">
        <f t="shared" si="0"/>
        <v>10</v>
      </c>
      <c r="L23" s="108" t="str">
        <f t="shared" si="4"/>
        <v>CHECKING KRANI PANEN</v>
      </c>
      <c r="M23" s="114" t="str">
        <f t="shared" si="5"/>
        <v>Plasma II</v>
      </c>
      <c r="N23" s="115">
        <f t="shared" si="6"/>
        <v>0.1182</v>
      </c>
      <c r="O23" s="116" t="str">
        <f t="shared" si="7"/>
        <v>RIM</v>
      </c>
      <c r="P23" s="115">
        <f t="shared" si="8"/>
        <v>160000</v>
      </c>
      <c r="Q23" s="117">
        <f t="shared" si="9"/>
        <v>18912</v>
      </c>
      <c r="R23" s="118">
        <f t="shared" si="10"/>
        <v>0</v>
      </c>
      <c r="S23" s="27"/>
      <c r="T23" s="27"/>
      <c r="U23" s="27"/>
      <c r="V23" s="27"/>
      <c r="W23" s="27"/>
      <c r="X23" s="27"/>
      <c r="Y23" s="119"/>
    </row>
    <row r="24" spans="1:25" s="30" customFormat="1" ht="18" x14ac:dyDescent="0.35">
      <c r="A24" s="30" t="s">
        <v>320</v>
      </c>
      <c r="C24" s="106">
        <f t="shared" si="11"/>
        <v>11</v>
      </c>
      <c r="D24" s="107" t="s">
        <v>60</v>
      </c>
      <c r="E24" s="107" t="s">
        <v>88</v>
      </c>
      <c r="F24" s="108" t="s">
        <v>122</v>
      </c>
      <c r="G24" s="109">
        <v>0.17730000000000001</v>
      </c>
      <c r="H24" s="110" t="s">
        <v>101</v>
      </c>
      <c r="I24" s="111">
        <v>160000</v>
      </c>
      <c r="J24" s="171">
        <f t="shared" si="13"/>
        <v>28368.000000000004</v>
      </c>
      <c r="K24" s="113">
        <f t="shared" si="0"/>
        <v>11</v>
      </c>
      <c r="L24" s="108" t="str">
        <f t="shared" si="4"/>
        <v>PENGANTAR TBS</v>
      </c>
      <c r="M24" s="114" t="str">
        <f t="shared" si="5"/>
        <v>Plasma II</v>
      </c>
      <c r="N24" s="115">
        <f t="shared" si="6"/>
        <v>0.17730000000000001</v>
      </c>
      <c r="O24" s="116" t="str">
        <f t="shared" si="7"/>
        <v>RIM</v>
      </c>
      <c r="P24" s="115">
        <f t="shared" si="8"/>
        <v>160000</v>
      </c>
      <c r="Q24" s="117">
        <f t="shared" si="9"/>
        <v>28368.000000000004</v>
      </c>
      <c r="R24" s="118">
        <f t="shared" si="10"/>
        <v>0</v>
      </c>
      <c r="S24" s="27"/>
      <c r="T24" s="27"/>
      <c r="U24" s="27"/>
      <c r="V24" s="27"/>
      <c r="W24" s="27"/>
      <c r="X24" s="27"/>
      <c r="Y24" s="119"/>
    </row>
    <row r="25" spans="1:25" s="30" customFormat="1" ht="18" x14ac:dyDescent="0.35">
      <c r="A25" s="30" t="s">
        <v>320</v>
      </c>
      <c r="C25" s="106">
        <f t="shared" si="11"/>
        <v>12</v>
      </c>
      <c r="D25" s="107" t="s">
        <v>60</v>
      </c>
      <c r="E25" s="107" t="s">
        <v>88</v>
      </c>
      <c r="F25" s="108" t="s">
        <v>123</v>
      </c>
      <c r="G25" s="109">
        <v>0.29549999999999998</v>
      </c>
      <c r="H25" s="110" t="s">
        <v>101</v>
      </c>
      <c r="I25" s="111">
        <v>160000</v>
      </c>
      <c r="J25" s="171">
        <f t="shared" si="13"/>
        <v>47280</v>
      </c>
      <c r="K25" s="113">
        <f t="shared" si="0"/>
        <v>12</v>
      </c>
      <c r="L25" s="108" t="str">
        <f t="shared" si="4"/>
        <v>DATA KWALITAS TBS</v>
      </c>
      <c r="M25" s="114" t="str">
        <f t="shared" si="5"/>
        <v>Plasma II</v>
      </c>
      <c r="N25" s="115">
        <f t="shared" si="6"/>
        <v>0.29549999999999998</v>
      </c>
      <c r="O25" s="116" t="str">
        <f t="shared" si="7"/>
        <v>RIM</v>
      </c>
      <c r="P25" s="115">
        <f t="shared" si="8"/>
        <v>160000</v>
      </c>
      <c r="Q25" s="117">
        <f t="shared" si="9"/>
        <v>47280</v>
      </c>
      <c r="R25" s="118">
        <f t="shared" si="10"/>
        <v>0</v>
      </c>
      <c r="S25" s="27"/>
      <c r="T25" s="27"/>
      <c r="U25" s="27"/>
      <c r="V25" s="27"/>
      <c r="W25" s="27"/>
      <c r="X25" s="27"/>
      <c r="Y25" s="29"/>
    </row>
    <row r="26" spans="1:25" s="30" customFormat="1" ht="18" x14ac:dyDescent="0.35">
      <c r="A26" s="30" t="s">
        <v>320</v>
      </c>
      <c r="C26" s="106">
        <f t="shared" si="11"/>
        <v>13</v>
      </c>
      <c r="D26" s="107" t="s">
        <v>60</v>
      </c>
      <c r="E26" s="107" t="s">
        <v>88</v>
      </c>
      <c r="F26" s="108" t="s">
        <v>124</v>
      </c>
      <c r="G26" s="109">
        <v>0.29549999999999998</v>
      </c>
      <c r="H26" s="110" t="s">
        <v>101</v>
      </c>
      <c r="I26" s="111">
        <v>160000</v>
      </c>
      <c r="J26" s="171">
        <f t="shared" si="13"/>
        <v>47280</v>
      </c>
      <c r="K26" s="113">
        <f t="shared" si="0"/>
        <v>13</v>
      </c>
      <c r="L26" s="108" t="str">
        <f t="shared" si="4"/>
        <v>PERAWATAN</v>
      </c>
      <c r="M26" s="114" t="str">
        <f t="shared" si="5"/>
        <v>Plasma II</v>
      </c>
      <c r="N26" s="115">
        <f t="shared" si="6"/>
        <v>0.29549999999999998</v>
      </c>
      <c r="O26" s="116" t="str">
        <f t="shared" si="7"/>
        <v>RIM</v>
      </c>
      <c r="P26" s="115">
        <f t="shared" si="8"/>
        <v>160000</v>
      </c>
      <c r="Q26" s="117">
        <f t="shared" si="9"/>
        <v>47280</v>
      </c>
      <c r="R26" s="118">
        <f t="shared" si="10"/>
        <v>0</v>
      </c>
      <c r="S26" s="27"/>
      <c r="T26" s="27"/>
      <c r="U26" s="27"/>
      <c r="V26" s="27"/>
      <c r="W26" s="27"/>
      <c r="X26" s="27"/>
      <c r="Y26" s="29"/>
    </row>
    <row r="27" spans="1:25" s="30" customFormat="1" ht="18" x14ac:dyDescent="0.35">
      <c r="A27" s="30" t="s">
        <v>320</v>
      </c>
      <c r="C27" s="106">
        <f t="shared" si="11"/>
        <v>14</v>
      </c>
      <c r="D27" s="107" t="s">
        <v>60</v>
      </c>
      <c r="E27" s="107" t="s">
        <v>88</v>
      </c>
      <c r="F27" s="108" t="s">
        <v>125</v>
      </c>
      <c r="G27" s="109">
        <v>0.59099999999999997</v>
      </c>
      <c r="H27" s="110" t="s">
        <v>101</v>
      </c>
      <c r="I27" s="111">
        <v>160000</v>
      </c>
      <c r="J27" s="171">
        <f t="shared" si="13"/>
        <v>94560</v>
      </c>
      <c r="K27" s="113">
        <f t="shared" si="0"/>
        <v>14</v>
      </c>
      <c r="L27" s="108" t="str">
        <f t="shared" si="4"/>
        <v>ANCAK PANEN</v>
      </c>
      <c r="M27" s="114" t="str">
        <f t="shared" si="5"/>
        <v>Plasma II</v>
      </c>
      <c r="N27" s="115">
        <f t="shared" si="6"/>
        <v>0.59099999999999997</v>
      </c>
      <c r="O27" s="116" t="str">
        <f t="shared" si="7"/>
        <v>RIM</v>
      </c>
      <c r="P27" s="115">
        <f t="shared" si="8"/>
        <v>160000</v>
      </c>
      <c r="Q27" s="117">
        <f t="shared" si="9"/>
        <v>94560</v>
      </c>
      <c r="R27" s="118">
        <f t="shared" si="10"/>
        <v>0</v>
      </c>
      <c r="S27" s="27"/>
      <c r="T27" s="27"/>
      <c r="U27" s="27"/>
      <c r="V27" s="27"/>
      <c r="W27" s="27"/>
      <c r="X27" s="27"/>
      <c r="Y27" s="29"/>
    </row>
    <row r="28" spans="1:25" s="30" customFormat="1" ht="18" x14ac:dyDescent="0.35">
      <c r="A28" s="30" t="s">
        <v>320</v>
      </c>
      <c r="C28" s="106">
        <f t="shared" si="11"/>
        <v>15</v>
      </c>
      <c r="D28" s="107" t="s">
        <v>60</v>
      </c>
      <c r="E28" s="107" t="s">
        <v>88</v>
      </c>
      <c r="F28" s="176" t="s">
        <v>126</v>
      </c>
      <c r="G28" s="109">
        <v>5.91E-2</v>
      </c>
      <c r="H28" s="110" t="s">
        <v>101</v>
      </c>
      <c r="I28" s="111">
        <v>160000</v>
      </c>
      <c r="J28" s="171">
        <f t="shared" si="13"/>
        <v>9456</v>
      </c>
      <c r="K28" s="113">
        <f t="shared" si="0"/>
        <v>15</v>
      </c>
      <c r="L28" s="108" t="str">
        <f t="shared" si="4"/>
        <v>PENGEMBALIAN BARANG BEKAS</v>
      </c>
      <c r="M28" s="114" t="str">
        <f t="shared" si="5"/>
        <v>Plasma II</v>
      </c>
      <c r="N28" s="115">
        <f t="shared" si="6"/>
        <v>5.91E-2</v>
      </c>
      <c r="O28" s="116" t="str">
        <f t="shared" si="7"/>
        <v>RIM</v>
      </c>
      <c r="P28" s="115">
        <f t="shared" si="8"/>
        <v>160000</v>
      </c>
      <c r="Q28" s="117">
        <f t="shared" si="9"/>
        <v>9456</v>
      </c>
      <c r="R28" s="118">
        <f t="shared" si="10"/>
        <v>0</v>
      </c>
      <c r="S28" s="27"/>
      <c r="T28" s="27"/>
      <c r="U28" s="27"/>
      <c r="V28" s="27"/>
      <c r="W28" s="27"/>
      <c r="X28" s="27"/>
      <c r="Y28" s="29"/>
    </row>
    <row r="29" spans="1:25" s="30" customFormat="1" ht="18" x14ac:dyDescent="0.35">
      <c r="A29" s="30" t="s">
        <v>320</v>
      </c>
      <c r="C29" s="106">
        <f t="shared" si="11"/>
        <v>16</v>
      </c>
      <c r="D29" s="107" t="s">
        <v>60</v>
      </c>
      <c r="E29" s="107" t="s">
        <v>88</v>
      </c>
      <c r="F29" s="176" t="s">
        <v>127</v>
      </c>
      <c r="G29" s="109">
        <v>5.91E-2</v>
      </c>
      <c r="H29" s="110" t="s">
        <v>101</v>
      </c>
      <c r="I29" s="111">
        <v>160000</v>
      </c>
      <c r="J29" s="171">
        <f t="shared" si="13"/>
        <v>9456</v>
      </c>
      <c r="K29" s="113">
        <f t="shared" si="0"/>
        <v>16</v>
      </c>
      <c r="L29" s="108" t="str">
        <f t="shared" si="4"/>
        <v>SPB</v>
      </c>
      <c r="M29" s="114" t="str">
        <f t="shared" si="5"/>
        <v>Plasma II</v>
      </c>
      <c r="N29" s="115">
        <f t="shared" si="6"/>
        <v>5.91E-2</v>
      </c>
      <c r="O29" s="116" t="str">
        <f t="shared" si="7"/>
        <v>RIM</v>
      </c>
      <c r="P29" s="115">
        <f t="shared" si="8"/>
        <v>160000</v>
      </c>
      <c r="Q29" s="117">
        <f t="shared" si="9"/>
        <v>9456</v>
      </c>
      <c r="R29" s="118">
        <f t="shared" si="10"/>
        <v>0</v>
      </c>
      <c r="S29" s="27"/>
      <c r="T29" s="27"/>
      <c r="U29" s="27"/>
      <c r="V29" s="27"/>
      <c r="W29" s="27"/>
      <c r="X29" s="27"/>
      <c r="Y29" s="29"/>
    </row>
    <row r="30" spans="1:25" s="30" customFormat="1" ht="18" x14ac:dyDescent="0.35">
      <c r="A30" s="30" t="s">
        <v>320</v>
      </c>
      <c r="C30" s="106">
        <f t="shared" si="11"/>
        <v>17</v>
      </c>
      <c r="D30" s="107" t="s">
        <v>60</v>
      </c>
      <c r="E30" s="107" t="s">
        <v>88</v>
      </c>
      <c r="F30" s="176" t="s">
        <v>128</v>
      </c>
      <c r="G30" s="109">
        <v>5.91E-2</v>
      </c>
      <c r="H30" s="110" t="s">
        <v>101</v>
      </c>
      <c r="I30" s="111">
        <v>160000</v>
      </c>
      <c r="J30" s="171">
        <f t="shared" si="13"/>
        <v>9456</v>
      </c>
      <c r="K30" s="113">
        <f t="shared" si="0"/>
        <v>17</v>
      </c>
      <c r="L30" s="108" t="str">
        <f t="shared" si="4"/>
        <v>PASS KELUAR</v>
      </c>
      <c r="M30" s="114" t="str">
        <f t="shared" si="5"/>
        <v>Plasma II</v>
      </c>
      <c r="N30" s="115">
        <f t="shared" si="6"/>
        <v>5.91E-2</v>
      </c>
      <c r="O30" s="116" t="str">
        <f t="shared" si="7"/>
        <v>RIM</v>
      </c>
      <c r="P30" s="115">
        <f t="shared" si="8"/>
        <v>160000</v>
      </c>
      <c r="Q30" s="117">
        <f t="shared" si="9"/>
        <v>9456</v>
      </c>
      <c r="R30" s="118">
        <f t="shared" si="10"/>
        <v>0</v>
      </c>
      <c r="S30" s="27"/>
      <c r="T30" s="27"/>
      <c r="U30" s="27"/>
      <c r="V30" s="27"/>
      <c r="W30" s="27"/>
      <c r="X30" s="27"/>
      <c r="Y30" s="29"/>
    </row>
    <row r="31" spans="1:25" s="30" customFormat="1" ht="18" x14ac:dyDescent="0.35">
      <c r="A31" s="30" t="s">
        <v>320</v>
      </c>
      <c r="C31" s="106">
        <f t="shared" si="11"/>
        <v>18</v>
      </c>
      <c r="D31" s="107" t="s">
        <v>60</v>
      </c>
      <c r="E31" s="107" t="s">
        <v>88</v>
      </c>
      <c r="F31" s="176" t="s">
        <v>129</v>
      </c>
      <c r="G31" s="109">
        <v>5.91E-2</v>
      </c>
      <c r="H31" s="110" t="s">
        <v>101</v>
      </c>
      <c r="I31" s="111">
        <v>160000</v>
      </c>
      <c r="J31" s="171">
        <f t="shared" si="13"/>
        <v>9456</v>
      </c>
      <c r="K31" s="113">
        <f t="shared" si="0"/>
        <v>18</v>
      </c>
      <c r="L31" s="108" t="str">
        <f t="shared" si="4"/>
        <v>LAP. PROGRAM LERJA DIVISI</v>
      </c>
      <c r="M31" s="114" t="str">
        <f t="shared" si="5"/>
        <v>Plasma II</v>
      </c>
      <c r="N31" s="115">
        <f t="shared" si="6"/>
        <v>5.91E-2</v>
      </c>
      <c r="O31" s="116" t="str">
        <f t="shared" si="7"/>
        <v>RIM</v>
      </c>
      <c r="P31" s="115">
        <f t="shared" si="8"/>
        <v>160000</v>
      </c>
      <c r="Q31" s="117">
        <f t="shared" si="9"/>
        <v>9456</v>
      </c>
      <c r="R31" s="118">
        <f t="shared" si="10"/>
        <v>0</v>
      </c>
      <c r="S31" s="27"/>
      <c r="T31" s="27"/>
      <c r="U31" s="27"/>
      <c r="V31" s="27"/>
      <c r="W31" s="27"/>
      <c r="X31" s="27"/>
      <c r="Y31" s="29"/>
    </row>
    <row r="32" spans="1:25" s="30" customFormat="1" ht="18" x14ac:dyDescent="0.35">
      <c r="A32" s="30" t="s">
        <v>320</v>
      </c>
      <c r="C32" s="106">
        <f t="shared" si="11"/>
        <v>19</v>
      </c>
      <c r="D32" s="107" t="s">
        <v>60</v>
      </c>
      <c r="E32" s="107" t="s">
        <v>88</v>
      </c>
      <c r="F32" s="176" t="s">
        <v>130</v>
      </c>
      <c r="G32" s="109">
        <v>5.91E-2</v>
      </c>
      <c r="H32" s="110" t="s">
        <v>101</v>
      </c>
      <c r="I32" s="111">
        <v>160000</v>
      </c>
      <c r="J32" s="171">
        <f t="shared" si="13"/>
        <v>9456</v>
      </c>
      <c r="K32" s="113">
        <f t="shared" si="0"/>
        <v>19</v>
      </c>
      <c r="L32" s="108" t="str">
        <f t="shared" si="4"/>
        <v>BPBG</v>
      </c>
      <c r="M32" s="114" t="str">
        <f t="shared" si="5"/>
        <v>Plasma II</v>
      </c>
      <c r="N32" s="115">
        <f t="shared" si="6"/>
        <v>5.91E-2</v>
      </c>
      <c r="O32" s="116" t="str">
        <f t="shared" si="7"/>
        <v>RIM</v>
      </c>
      <c r="P32" s="115">
        <f t="shared" si="8"/>
        <v>160000</v>
      </c>
      <c r="Q32" s="117">
        <f t="shared" si="9"/>
        <v>9456</v>
      </c>
      <c r="R32" s="118">
        <f t="shared" si="10"/>
        <v>0</v>
      </c>
      <c r="S32" s="27"/>
      <c r="T32" s="27"/>
      <c r="U32" s="27"/>
      <c r="V32" s="27"/>
      <c r="W32" s="27"/>
      <c r="X32" s="27"/>
      <c r="Y32" s="29"/>
    </row>
    <row r="33" spans="1:25" s="30" customFormat="1" ht="18" x14ac:dyDescent="0.35">
      <c r="A33" s="30" t="s">
        <v>320</v>
      </c>
      <c r="C33" s="106">
        <f t="shared" si="11"/>
        <v>20</v>
      </c>
      <c r="D33" s="107" t="s">
        <v>60</v>
      </c>
      <c r="E33" s="107" t="s">
        <v>88</v>
      </c>
      <c r="F33" s="176" t="s">
        <v>131</v>
      </c>
      <c r="G33" s="109">
        <v>0.88649999999999995</v>
      </c>
      <c r="H33" s="110" t="s">
        <v>103</v>
      </c>
      <c r="I33" s="111">
        <v>5000</v>
      </c>
      <c r="J33" s="171">
        <f t="shared" si="13"/>
        <v>4432.5</v>
      </c>
      <c r="K33" s="113">
        <f t="shared" si="0"/>
        <v>20</v>
      </c>
      <c r="L33" s="108" t="str">
        <f t="shared" si="4"/>
        <v>PEN KENKO</v>
      </c>
      <c r="M33" s="114" t="str">
        <f t="shared" si="5"/>
        <v>Plasma II</v>
      </c>
      <c r="N33" s="115">
        <f t="shared" si="6"/>
        <v>1.1819999999999999</v>
      </c>
      <c r="O33" s="116" t="str">
        <f t="shared" si="7"/>
        <v>PCS</v>
      </c>
      <c r="P33" s="115">
        <f t="shared" si="8"/>
        <v>5000</v>
      </c>
      <c r="Q33" s="117">
        <f t="shared" si="9"/>
        <v>5910</v>
      </c>
      <c r="R33" s="118">
        <f t="shared" si="10"/>
        <v>-1477.5</v>
      </c>
      <c r="S33" s="27"/>
      <c r="T33" s="27"/>
      <c r="U33" s="27"/>
      <c r="V33" s="27"/>
      <c r="W33" s="27"/>
      <c r="X33" s="27"/>
      <c r="Y33" s="29"/>
    </row>
    <row r="34" spans="1:25" s="30" customFormat="1" ht="18" x14ac:dyDescent="0.35">
      <c r="A34" s="30" t="s">
        <v>320</v>
      </c>
      <c r="C34" s="106">
        <f t="shared" si="11"/>
        <v>21</v>
      </c>
      <c r="D34" s="107" t="s">
        <v>60</v>
      </c>
      <c r="E34" s="107" t="s">
        <v>88</v>
      </c>
      <c r="F34" s="176" t="s">
        <v>100</v>
      </c>
      <c r="G34" s="109">
        <v>0.4728</v>
      </c>
      <c r="H34" s="110" t="s">
        <v>101</v>
      </c>
      <c r="I34" s="111">
        <v>59000</v>
      </c>
      <c r="J34" s="171">
        <f t="shared" si="13"/>
        <v>27895.200000000001</v>
      </c>
      <c r="K34" s="113">
        <f t="shared" si="0"/>
        <v>21</v>
      </c>
      <c r="L34" s="108" t="str">
        <f t="shared" si="4"/>
        <v>HVS F4 70GR</v>
      </c>
      <c r="M34" s="114" t="str">
        <f t="shared" si="5"/>
        <v>Plasma II</v>
      </c>
      <c r="N34" s="115">
        <f t="shared" si="6"/>
        <v>0.4728</v>
      </c>
      <c r="O34" s="116" t="str">
        <f t="shared" si="7"/>
        <v>RIM</v>
      </c>
      <c r="P34" s="115">
        <f t="shared" si="8"/>
        <v>59000</v>
      </c>
      <c r="Q34" s="117">
        <f t="shared" si="9"/>
        <v>27895.200000000001</v>
      </c>
      <c r="R34" s="118">
        <f t="shared" si="10"/>
        <v>0</v>
      </c>
      <c r="S34" s="27"/>
      <c r="T34" s="27"/>
      <c r="U34" s="27"/>
      <c r="V34" s="27"/>
      <c r="W34" s="27"/>
      <c r="X34" s="27"/>
      <c r="Y34" s="29"/>
    </row>
    <row r="35" spans="1:25" s="30" customFormat="1" ht="18" x14ac:dyDescent="0.35">
      <c r="A35" s="30" t="s">
        <v>320</v>
      </c>
      <c r="C35" s="106">
        <f t="shared" si="11"/>
        <v>22</v>
      </c>
      <c r="D35" s="107" t="s">
        <v>60</v>
      </c>
      <c r="E35" s="107" t="s">
        <v>88</v>
      </c>
      <c r="F35" s="176" t="s">
        <v>99</v>
      </c>
      <c r="G35" s="109">
        <v>0.29549999999999998</v>
      </c>
      <c r="H35" s="110" t="s">
        <v>101</v>
      </c>
      <c r="I35" s="111">
        <v>57000</v>
      </c>
      <c r="J35" s="171">
        <f t="shared" si="13"/>
        <v>16843.5</v>
      </c>
      <c r="K35" s="113">
        <f t="shared" si="0"/>
        <v>22</v>
      </c>
      <c r="L35" s="108" t="str">
        <f t="shared" si="4"/>
        <v>HVS A4 70GR</v>
      </c>
      <c r="M35" s="114" t="str">
        <f t="shared" si="5"/>
        <v>Plasma II</v>
      </c>
      <c r="N35" s="115">
        <f t="shared" si="6"/>
        <v>0.29549999999999998</v>
      </c>
      <c r="O35" s="116" t="str">
        <f t="shared" si="7"/>
        <v>RIM</v>
      </c>
      <c r="P35" s="115">
        <f t="shared" si="8"/>
        <v>57000</v>
      </c>
      <c r="Q35" s="117">
        <f t="shared" si="9"/>
        <v>16843.5</v>
      </c>
      <c r="R35" s="118">
        <f t="shared" si="10"/>
        <v>0</v>
      </c>
      <c r="S35" s="27"/>
      <c r="T35" s="27"/>
      <c r="U35" s="27"/>
      <c r="V35" s="27"/>
      <c r="W35" s="27"/>
      <c r="X35" s="27"/>
      <c r="Y35" s="29"/>
    </row>
    <row r="36" spans="1:25" s="30" customFormat="1" ht="18" x14ac:dyDescent="0.35">
      <c r="A36" s="30" t="s">
        <v>320</v>
      </c>
      <c r="C36" s="106">
        <f t="shared" si="11"/>
        <v>23</v>
      </c>
      <c r="D36" s="107" t="s">
        <v>60</v>
      </c>
      <c r="E36" s="107" t="s">
        <v>88</v>
      </c>
      <c r="F36" s="176" t="s">
        <v>132</v>
      </c>
      <c r="G36" s="109">
        <v>0.35460000000000003</v>
      </c>
      <c r="H36" s="110" t="s">
        <v>101</v>
      </c>
      <c r="I36" s="111">
        <v>45000</v>
      </c>
      <c r="J36" s="171">
        <f t="shared" si="13"/>
        <v>15957.000000000002</v>
      </c>
      <c r="K36" s="113">
        <f t="shared" si="0"/>
        <v>23</v>
      </c>
      <c r="L36" s="108" t="str">
        <f t="shared" si="4"/>
        <v>KERTAS CD 500</v>
      </c>
      <c r="M36" s="114" t="str">
        <f t="shared" si="5"/>
        <v>Plasma II</v>
      </c>
      <c r="N36" s="115">
        <f t="shared" si="6"/>
        <v>0.35460000000000003</v>
      </c>
      <c r="O36" s="116" t="str">
        <f t="shared" si="7"/>
        <v>RIM</v>
      </c>
      <c r="P36" s="115">
        <f t="shared" si="8"/>
        <v>45000</v>
      </c>
      <c r="Q36" s="117">
        <f t="shared" si="9"/>
        <v>15957.000000000002</v>
      </c>
      <c r="R36" s="118">
        <f t="shared" si="10"/>
        <v>0</v>
      </c>
      <c r="S36" s="27"/>
      <c r="T36" s="27"/>
      <c r="U36" s="27"/>
      <c r="V36" s="27"/>
      <c r="W36" s="27"/>
      <c r="X36" s="27"/>
      <c r="Y36" s="29"/>
    </row>
    <row r="37" spans="1:25" s="30" customFormat="1" ht="18" x14ac:dyDescent="0.35">
      <c r="A37" s="30" t="s">
        <v>320</v>
      </c>
      <c r="C37" s="106">
        <f t="shared" si="11"/>
        <v>24</v>
      </c>
      <c r="D37" s="107" t="s">
        <v>60</v>
      </c>
      <c r="E37" s="107" t="s">
        <v>88</v>
      </c>
      <c r="F37" s="176" t="s">
        <v>133</v>
      </c>
      <c r="G37" s="109">
        <v>0.1182</v>
      </c>
      <c r="H37" s="110" t="s">
        <v>101</v>
      </c>
      <c r="I37" s="111">
        <v>35000</v>
      </c>
      <c r="J37" s="171">
        <f t="shared" si="13"/>
        <v>4137</v>
      </c>
      <c r="K37" s="113">
        <f t="shared" si="0"/>
        <v>24</v>
      </c>
      <c r="L37" s="108" t="str">
        <f t="shared" si="4"/>
        <v>KERTAS BUFFALO</v>
      </c>
      <c r="M37" s="114" t="str">
        <f t="shared" si="5"/>
        <v>Plasma II</v>
      </c>
      <c r="N37" s="115">
        <f t="shared" si="6"/>
        <v>0.1182</v>
      </c>
      <c r="O37" s="116" t="str">
        <f t="shared" si="7"/>
        <v>RIM</v>
      </c>
      <c r="P37" s="115">
        <f t="shared" si="8"/>
        <v>35000</v>
      </c>
      <c r="Q37" s="117">
        <f t="shared" si="9"/>
        <v>4137</v>
      </c>
      <c r="R37" s="118">
        <f t="shared" si="10"/>
        <v>0</v>
      </c>
      <c r="S37" s="27"/>
      <c r="T37" s="27"/>
      <c r="U37" s="27"/>
      <c r="V37" s="27"/>
      <c r="W37" s="27"/>
      <c r="X37" s="27"/>
      <c r="Y37" s="29"/>
    </row>
    <row r="38" spans="1:25" s="30" customFormat="1" ht="18" x14ac:dyDescent="0.35">
      <c r="A38" s="30" t="s">
        <v>320</v>
      </c>
      <c r="C38" s="106">
        <f t="shared" si="11"/>
        <v>25</v>
      </c>
      <c r="D38" s="107" t="s">
        <v>60</v>
      </c>
      <c r="E38" s="107" t="s">
        <v>88</v>
      </c>
      <c r="F38" s="176" t="s">
        <v>134</v>
      </c>
      <c r="G38" s="109">
        <v>0.29549999999999998</v>
      </c>
      <c r="H38" s="110" t="s">
        <v>104</v>
      </c>
      <c r="I38" s="111">
        <v>35000</v>
      </c>
      <c r="J38" s="171">
        <f t="shared" si="13"/>
        <v>10342.5</v>
      </c>
      <c r="K38" s="113">
        <f t="shared" si="0"/>
        <v>25</v>
      </c>
      <c r="L38" s="108" t="str">
        <f t="shared" si="4"/>
        <v>TINTA DP 40</v>
      </c>
      <c r="M38" s="114" t="str">
        <f t="shared" si="5"/>
        <v>Plasma II</v>
      </c>
      <c r="N38" s="115">
        <f t="shared" si="6"/>
        <v>0.29549999999999998</v>
      </c>
      <c r="O38" s="116" t="str">
        <f t="shared" si="7"/>
        <v>KTK</v>
      </c>
      <c r="P38" s="115">
        <f t="shared" si="8"/>
        <v>35000</v>
      </c>
      <c r="Q38" s="117">
        <f t="shared" si="9"/>
        <v>10342.5</v>
      </c>
      <c r="R38" s="118">
        <f t="shared" si="10"/>
        <v>0</v>
      </c>
      <c r="S38" s="27"/>
      <c r="T38" s="27"/>
      <c r="U38" s="27"/>
      <c r="V38" s="27"/>
      <c r="W38" s="27"/>
      <c r="X38" s="27"/>
      <c r="Y38" s="29"/>
    </row>
    <row r="39" spans="1:25" s="30" customFormat="1" ht="18" x14ac:dyDescent="0.35">
      <c r="A39" s="30" t="s">
        <v>320</v>
      </c>
      <c r="C39" s="106">
        <f t="shared" si="11"/>
        <v>26</v>
      </c>
      <c r="D39" s="107" t="s">
        <v>60</v>
      </c>
      <c r="E39" s="107" t="s">
        <v>88</v>
      </c>
      <c r="F39" s="176" t="s">
        <v>135</v>
      </c>
      <c r="G39" s="109">
        <v>0.29549999999999998</v>
      </c>
      <c r="H39" s="110" t="s">
        <v>104</v>
      </c>
      <c r="I39" s="111">
        <v>35000</v>
      </c>
      <c r="J39" s="171">
        <f t="shared" si="13"/>
        <v>10342.5</v>
      </c>
      <c r="K39" s="113">
        <f t="shared" si="0"/>
        <v>26</v>
      </c>
      <c r="L39" s="108" t="str">
        <f t="shared" si="4"/>
        <v>TINTA DP 41</v>
      </c>
      <c r="M39" s="114" t="str">
        <f t="shared" si="5"/>
        <v>Plasma II</v>
      </c>
      <c r="N39" s="115">
        <f t="shared" si="6"/>
        <v>0.29549999999999998</v>
      </c>
      <c r="O39" s="116" t="str">
        <f t="shared" si="7"/>
        <v>KTK</v>
      </c>
      <c r="P39" s="115">
        <f t="shared" si="8"/>
        <v>35000</v>
      </c>
      <c r="Q39" s="117">
        <f t="shared" si="9"/>
        <v>10342.5</v>
      </c>
      <c r="R39" s="118">
        <f t="shared" si="10"/>
        <v>0</v>
      </c>
      <c r="S39" s="27"/>
      <c r="T39" s="27"/>
      <c r="U39" s="27"/>
      <c r="V39" s="27"/>
      <c r="W39" s="27"/>
      <c r="X39" s="27"/>
      <c r="Y39" s="29"/>
    </row>
    <row r="40" spans="1:25" s="30" customFormat="1" ht="18" x14ac:dyDescent="0.35">
      <c r="A40" s="30" t="s">
        <v>320</v>
      </c>
      <c r="C40" s="106">
        <f t="shared" si="11"/>
        <v>27</v>
      </c>
      <c r="D40" s="107" t="s">
        <v>60</v>
      </c>
      <c r="E40" s="107" t="s">
        <v>88</v>
      </c>
      <c r="F40" s="176" t="s">
        <v>136</v>
      </c>
      <c r="G40" s="109">
        <v>0.2364</v>
      </c>
      <c r="H40" s="110" t="s">
        <v>105</v>
      </c>
      <c r="I40" s="111">
        <v>250000</v>
      </c>
      <c r="J40" s="171">
        <f t="shared" si="13"/>
        <v>59100</v>
      </c>
      <c r="K40" s="113">
        <f t="shared" si="0"/>
        <v>27</v>
      </c>
      <c r="L40" s="108" t="str">
        <f t="shared" si="4"/>
        <v>FRAME PRESIDEN</v>
      </c>
      <c r="M40" s="114" t="str">
        <f t="shared" si="5"/>
        <v>Plasma II</v>
      </c>
      <c r="N40" s="115">
        <f t="shared" si="6"/>
        <v>0.2364</v>
      </c>
      <c r="O40" s="116" t="str">
        <f t="shared" si="7"/>
        <v>SET</v>
      </c>
      <c r="P40" s="115">
        <f t="shared" si="8"/>
        <v>250000</v>
      </c>
      <c r="Q40" s="117">
        <f t="shared" si="9"/>
        <v>59100</v>
      </c>
      <c r="R40" s="118">
        <f t="shared" si="10"/>
        <v>0</v>
      </c>
      <c r="S40" s="27"/>
      <c r="T40" s="27"/>
      <c r="U40" s="27"/>
      <c r="V40" s="27"/>
      <c r="W40" s="27"/>
      <c r="X40" s="27"/>
      <c r="Y40" s="29"/>
    </row>
    <row r="41" spans="1:25" s="30" customFormat="1" ht="18" x14ac:dyDescent="0.35">
      <c r="A41" s="30" t="s">
        <v>320</v>
      </c>
      <c r="C41" s="106">
        <f t="shared" si="11"/>
        <v>28</v>
      </c>
      <c r="D41" s="107" t="s">
        <v>60</v>
      </c>
      <c r="E41" s="107" t="s">
        <v>88</v>
      </c>
      <c r="F41" s="176" t="s">
        <v>137</v>
      </c>
      <c r="G41" s="109">
        <v>5.91E-2</v>
      </c>
      <c r="H41" s="110" t="s">
        <v>103</v>
      </c>
      <c r="I41" s="111">
        <v>125000</v>
      </c>
      <c r="J41" s="171">
        <f t="shared" si="13"/>
        <v>7387.5</v>
      </c>
      <c r="K41" s="113">
        <f t="shared" si="0"/>
        <v>28</v>
      </c>
      <c r="L41" s="108" t="str">
        <f t="shared" si="4"/>
        <v>FRAME GARUDA</v>
      </c>
      <c r="M41" s="114" t="str">
        <f t="shared" si="5"/>
        <v>Plasma II</v>
      </c>
      <c r="N41" s="115">
        <f t="shared" si="6"/>
        <v>5.91E-2</v>
      </c>
      <c r="O41" s="116" t="str">
        <f t="shared" si="7"/>
        <v>PCS</v>
      </c>
      <c r="P41" s="115">
        <f t="shared" si="8"/>
        <v>125000</v>
      </c>
      <c r="Q41" s="117">
        <f t="shared" si="9"/>
        <v>7387.5</v>
      </c>
      <c r="R41" s="118">
        <f t="shared" si="10"/>
        <v>0</v>
      </c>
      <c r="S41" s="27"/>
      <c r="T41" s="27"/>
      <c r="U41" s="27"/>
      <c r="V41" s="27"/>
      <c r="W41" s="27"/>
      <c r="X41" s="27"/>
      <c r="Y41" s="29"/>
    </row>
    <row r="42" spans="1:25" s="30" customFormat="1" ht="18" x14ac:dyDescent="0.35">
      <c r="A42" s="30" t="s">
        <v>320</v>
      </c>
      <c r="C42" s="106">
        <f t="shared" si="11"/>
        <v>29</v>
      </c>
      <c r="D42" s="107" t="s">
        <v>60</v>
      </c>
      <c r="E42" s="107" t="s">
        <v>88</v>
      </c>
      <c r="F42" s="176" t="s">
        <v>138</v>
      </c>
      <c r="G42" s="109">
        <v>0.59099999999999997</v>
      </c>
      <c r="H42" s="110" t="s">
        <v>103</v>
      </c>
      <c r="I42" s="111">
        <v>25000</v>
      </c>
      <c r="J42" s="171">
        <f t="shared" si="13"/>
        <v>14775</v>
      </c>
      <c r="K42" s="113">
        <f t="shared" si="0"/>
        <v>29</v>
      </c>
      <c r="L42" s="108" t="str">
        <f t="shared" si="4"/>
        <v>ODNER FOLIO KINGCO</v>
      </c>
      <c r="M42" s="114" t="str">
        <f t="shared" si="5"/>
        <v>Plasma II</v>
      </c>
      <c r="N42" s="115">
        <f t="shared" si="6"/>
        <v>0.59099999999999997</v>
      </c>
      <c r="O42" s="116" t="str">
        <f t="shared" si="7"/>
        <v>PCS</v>
      </c>
      <c r="P42" s="115">
        <f t="shared" si="8"/>
        <v>25000</v>
      </c>
      <c r="Q42" s="117">
        <f t="shared" si="9"/>
        <v>14775</v>
      </c>
      <c r="R42" s="118">
        <f t="shared" si="10"/>
        <v>0</v>
      </c>
      <c r="S42" s="27"/>
      <c r="T42" s="27"/>
      <c r="U42" s="27"/>
      <c r="V42" s="27"/>
      <c r="W42" s="27"/>
      <c r="X42" s="27"/>
      <c r="Y42" s="29"/>
    </row>
    <row r="43" spans="1:25" s="30" customFormat="1" ht="18" x14ac:dyDescent="0.35">
      <c r="A43" s="30" t="s">
        <v>320</v>
      </c>
      <c r="C43" s="106">
        <f t="shared" si="11"/>
        <v>30</v>
      </c>
      <c r="D43" s="107" t="s">
        <v>60</v>
      </c>
      <c r="E43" s="107" t="s">
        <v>88</v>
      </c>
      <c r="F43" s="176" t="s">
        <v>139</v>
      </c>
      <c r="G43" s="109">
        <v>0.59099999999999997</v>
      </c>
      <c r="H43" s="110" t="s">
        <v>103</v>
      </c>
      <c r="I43" s="111">
        <v>12000</v>
      </c>
      <c r="J43" s="171">
        <f t="shared" si="13"/>
        <v>7092</v>
      </c>
      <c r="K43" s="113">
        <f t="shared" si="0"/>
        <v>30</v>
      </c>
      <c r="L43" s="108" t="str">
        <f t="shared" si="4"/>
        <v>MATERAI 10000</v>
      </c>
      <c r="M43" s="114" t="str">
        <f t="shared" si="5"/>
        <v>Plasma II</v>
      </c>
      <c r="N43" s="115">
        <f t="shared" si="6"/>
        <v>0.59099999999999997</v>
      </c>
      <c r="O43" s="116" t="str">
        <f t="shared" si="7"/>
        <v>PCS</v>
      </c>
      <c r="P43" s="115">
        <f t="shared" si="8"/>
        <v>12000</v>
      </c>
      <c r="Q43" s="117">
        <f t="shared" si="9"/>
        <v>7092</v>
      </c>
      <c r="R43" s="118">
        <f t="shared" si="10"/>
        <v>0</v>
      </c>
      <c r="S43" s="27"/>
      <c r="T43" s="27"/>
      <c r="U43" s="27"/>
      <c r="V43" s="27"/>
      <c r="W43" s="27"/>
      <c r="X43" s="27"/>
      <c r="Y43" s="29"/>
    </row>
    <row r="44" spans="1:25" s="30" customFormat="1" ht="18" x14ac:dyDescent="0.35">
      <c r="A44" s="30" t="s">
        <v>320</v>
      </c>
      <c r="C44" s="106">
        <f t="shared" si="11"/>
        <v>31</v>
      </c>
      <c r="D44" s="107" t="s">
        <v>60</v>
      </c>
      <c r="E44" s="107" t="s">
        <v>88</v>
      </c>
      <c r="F44" s="176" t="s">
        <v>140</v>
      </c>
      <c r="G44" s="109">
        <v>5.91E-2</v>
      </c>
      <c r="H44" s="110" t="s">
        <v>103</v>
      </c>
      <c r="I44" s="111">
        <v>12000</v>
      </c>
      <c r="J44" s="171">
        <f t="shared" si="13"/>
        <v>709.2</v>
      </c>
      <c r="K44" s="113">
        <f t="shared" si="0"/>
        <v>31</v>
      </c>
      <c r="L44" s="108" t="str">
        <f t="shared" si="4"/>
        <v xml:space="preserve">REMOVER </v>
      </c>
      <c r="M44" s="114" t="str">
        <f t="shared" si="5"/>
        <v>Plasma II</v>
      </c>
      <c r="N44" s="115">
        <f t="shared" si="6"/>
        <v>5.91E-2</v>
      </c>
      <c r="O44" s="116" t="str">
        <f t="shared" si="7"/>
        <v>PCS</v>
      </c>
      <c r="P44" s="115">
        <f t="shared" si="8"/>
        <v>12000</v>
      </c>
      <c r="Q44" s="117">
        <f t="shared" si="9"/>
        <v>709.2</v>
      </c>
      <c r="R44" s="118">
        <f t="shared" si="10"/>
        <v>0</v>
      </c>
      <c r="S44" s="27"/>
      <c r="T44" s="27"/>
      <c r="U44" s="27"/>
      <c r="V44" s="27"/>
      <c r="W44" s="27"/>
      <c r="X44" s="27"/>
      <c r="Y44" s="29"/>
    </row>
    <row r="45" spans="1:25" s="30" customFormat="1" ht="18" x14ac:dyDescent="0.35">
      <c r="A45" s="30" t="s">
        <v>320</v>
      </c>
      <c r="C45" s="106">
        <f t="shared" si="11"/>
        <v>32</v>
      </c>
      <c r="D45" s="107" t="s">
        <v>60</v>
      </c>
      <c r="E45" s="107" t="s">
        <v>88</v>
      </c>
      <c r="F45" s="176" t="s">
        <v>141</v>
      </c>
      <c r="G45" s="109">
        <v>0.59099999999999997</v>
      </c>
      <c r="H45" s="110" t="s">
        <v>103</v>
      </c>
      <c r="I45" s="111">
        <v>4000</v>
      </c>
      <c r="J45" s="171">
        <f t="shared" si="13"/>
        <v>2364</v>
      </c>
      <c r="K45" s="113">
        <f t="shared" si="0"/>
        <v>32</v>
      </c>
      <c r="L45" s="108" t="str">
        <f t="shared" si="4"/>
        <v>MAP TRANSPARANT</v>
      </c>
      <c r="M45" s="114" t="str">
        <f t="shared" si="5"/>
        <v>Plasma II</v>
      </c>
      <c r="N45" s="115">
        <f t="shared" si="6"/>
        <v>0.59099999999999997</v>
      </c>
      <c r="O45" s="116" t="str">
        <f t="shared" si="7"/>
        <v>PCS</v>
      </c>
      <c r="P45" s="115">
        <f t="shared" si="8"/>
        <v>4000</v>
      </c>
      <c r="Q45" s="117">
        <f t="shared" si="9"/>
        <v>2364</v>
      </c>
      <c r="R45" s="118">
        <f t="shared" si="10"/>
        <v>0</v>
      </c>
      <c r="S45" s="27"/>
      <c r="T45" s="27"/>
      <c r="U45" s="27"/>
      <c r="V45" s="27"/>
      <c r="W45" s="27"/>
      <c r="X45" s="27"/>
      <c r="Y45" s="29"/>
    </row>
    <row r="46" spans="1:25" s="30" customFormat="1" ht="18" x14ac:dyDescent="0.35">
      <c r="A46" s="30" t="s">
        <v>320</v>
      </c>
      <c r="C46" s="106">
        <f t="shared" si="11"/>
        <v>33</v>
      </c>
      <c r="D46" s="107" t="s">
        <v>60</v>
      </c>
      <c r="E46" s="107" t="s">
        <v>88</v>
      </c>
      <c r="F46" s="176" t="s">
        <v>142</v>
      </c>
      <c r="G46" s="109">
        <v>5.91E-2</v>
      </c>
      <c r="H46" s="110" t="s">
        <v>102</v>
      </c>
      <c r="I46" s="111">
        <v>145000</v>
      </c>
      <c r="J46" s="171">
        <f t="shared" si="13"/>
        <v>8569.5</v>
      </c>
      <c r="K46" s="113">
        <f t="shared" si="0"/>
        <v>33</v>
      </c>
      <c r="L46" s="108" t="str">
        <f t="shared" si="4"/>
        <v>PLASTIK LAMINATING F4</v>
      </c>
      <c r="M46" s="114" t="str">
        <f t="shared" si="5"/>
        <v>Plasma II</v>
      </c>
      <c r="N46" s="115">
        <f t="shared" si="6"/>
        <v>5.91E-2</v>
      </c>
      <c r="O46" s="116" t="str">
        <f t="shared" si="7"/>
        <v>PAK</v>
      </c>
      <c r="P46" s="115">
        <f t="shared" si="8"/>
        <v>145000</v>
      </c>
      <c r="Q46" s="117">
        <f t="shared" si="9"/>
        <v>8569.5</v>
      </c>
      <c r="R46" s="118">
        <f t="shared" si="10"/>
        <v>0</v>
      </c>
      <c r="S46" s="27"/>
      <c r="T46" s="27"/>
      <c r="U46" s="27"/>
      <c r="V46" s="27"/>
      <c r="W46" s="27"/>
      <c r="X46" s="27"/>
      <c r="Y46" s="29"/>
    </row>
    <row r="47" spans="1:25" s="30" customFormat="1" ht="18" x14ac:dyDescent="0.35">
      <c r="A47" s="30" t="s">
        <v>320</v>
      </c>
      <c r="C47" s="106">
        <f t="shared" si="11"/>
        <v>34</v>
      </c>
      <c r="D47" s="107" t="s">
        <v>60</v>
      </c>
      <c r="E47" s="107" t="s">
        <v>88</v>
      </c>
      <c r="F47" s="176" t="s">
        <v>143</v>
      </c>
      <c r="G47" s="109">
        <v>5.91E-2</v>
      </c>
      <c r="H47" s="110" t="s">
        <v>103</v>
      </c>
      <c r="I47" s="111">
        <v>60000</v>
      </c>
      <c r="J47" s="171">
        <f t="shared" si="13"/>
        <v>3546</v>
      </c>
      <c r="K47" s="113">
        <f t="shared" si="0"/>
        <v>34</v>
      </c>
      <c r="L47" s="108" t="str">
        <f t="shared" si="4"/>
        <v>PELUBANG KERTAS F4</v>
      </c>
      <c r="M47" s="114" t="str">
        <f t="shared" si="5"/>
        <v>Plasma II</v>
      </c>
      <c r="N47" s="115">
        <f t="shared" si="6"/>
        <v>5.91E-2</v>
      </c>
      <c r="O47" s="116" t="str">
        <f t="shared" si="7"/>
        <v>PCS</v>
      </c>
      <c r="P47" s="115">
        <f t="shared" si="8"/>
        <v>60000</v>
      </c>
      <c r="Q47" s="117">
        <f t="shared" si="9"/>
        <v>3546</v>
      </c>
      <c r="R47" s="118">
        <f t="shared" si="10"/>
        <v>0</v>
      </c>
      <c r="S47" s="27"/>
      <c r="T47" s="27"/>
      <c r="U47" s="27"/>
      <c r="V47" s="27"/>
      <c r="W47" s="27"/>
      <c r="X47" s="27"/>
      <c r="Y47" s="29"/>
    </row>
    <row r="48" spans="1:25" s="30" customFormat="1" ht="18" x14ac:dyDescent="0.35">
      <c r="A48" s="30" t="s">
        <v>320</v>
      </c>
      <c r="C48" s="106">
        <f t="shared" si="11"/>
        <v>35</v>
      </c>
      <c r="D48" s="107" t="s">
        <v>60</v>
      </c>
      <c r="E48" s="107" t="s">
        <v>88</v>
      </c>
      <c r="F48" s="176" t="s">
        <v>144</v>
      </c>
      <c r="G48" s="109">
        <v>5.91E-2</v>
      </c>
      <c r="H48" s="110" t="s">
        <v>103</v>
      </c>
      <c r="I48" s="111">
        <v>80000</v>
      </c>
      <c r="J48" s="171">
        <f t="shared" si="13"/>
        <v>4728</v>
      </c>
      <c r="K48" s="113">
        <f t="shared" si="0"/>
        <v>35</v>
      </c>
      <c r="L48" s="108" t="str">
        <f t="shared" si="4"/>
        <v>STAPLES HD 50 MAX</v>
      </c>
      <c r="M48" s="114" t="str">
        <f t="shared" si="5"/>
        <v>Plasma II</v>
      </c>
      <c r="N48" s="115">
        <f t="shared" si="6"/>
        <v>5.91E-2</v>
      </c>
      <c r="O48" s="116" t="str">
        <f t="shared" si="7"/>
        <v>PCS</v>
      </c>
      <c r="P48" s="115">
        <f t="shared" si="8"/>
        <v>80000</v>
      </c>
      <c r="Q48" s="117">
        <f t="shared" si="9"/>
        <v>4728</v>
      </c>
      <c r="R48" s="118">
        <f t="shared" si="10"/>
        <v>0</v>
      </c>
      <c r="S48" s="27"/>
      <c r="T48" s="27"/>
      <c r="U48" s="27"/>
      <c r="V48" s="27"/>
      <c r="W48" s="27"/>
      <c r="X48" s="27"/>
      <c r="Y48" s="29"/>
    </row>
    <row r="49" spans="1:25" s="30" customFormat="1" ht="18" x14ac:dyDescent="0.35">
      <c r="A49" s="30" t="s">
        <v>320</v>
      </c>
      <c r="C49" s="106">
        <f t="shared" si="11"/>
        <v>36</v>
      </c>
      <c r="D49" s="107" t="s">
        <v>60</v>
      </c>
      <c r="E49" s="107" t="s">
        <v>88</v>
      </c>
      <c r="F49" s="176" t="s">
        <v>145</v>
      </c>
      <c r="G49" s="109">
        <v>5.91E-2</v>
      </c>
      <c r="H49" s="110" t="s">
        <v>103</v>
      </c>
      <c r="I49" s="111">
        <v>8000</v>
      </c>
      <c r="J49" s="171">
        <f t="shared" si="13"/>
        <v>472.8</v>
      </c>
      <c r="K49" s="113">
        <f t="shared" si="0"/>
        <v>36</v>
      </c>
      <c r="L49" s="108" t="str">
        <f t="shared" si="4"/>
        <v>PENGGARIS BESI</v>
      </c>
      <c r="M49" s="114" t="str">
        <f t="shared" si="5"/>
        <v>Plasma II</v>
      </c>
      <c r="N49" s="115">
        <f t="shared" si="6"/>
        <v>5.91E-2</v>
      </c>
      <c r="O49" s="116" t="str">
        <f t="shared" si="7"/>
        <v>PCS</v>
      </c>
      <c r="P49" s="115">
        <f t="shared" si="8"/>
        <v>8000</v>
      </c>
      <c r="Q49" s="117">
        <f t="shared" si="9"/>
        <v>472.8</v>
      </c>
      <c r="R49" s="118">
        <f t="shared" si="10"/>
        <v>0</v>
      </c>
      <c r="S49" s="27"/>
      <c r="T49" s="27"/>
      <c r="U49" s="27"/>
      <c r="V49" s="27"/>
      <c r="W49" s="27"/>
      <c r="X49" s="27"/>
      <c r="Y49" s="29"/>
    </row>
    <row r="50" spans="1:25" s="30" customFormat="1" ht="18" x14ac:dyDescent="0.35">
      <c r="A50" s="30" t="s">
        <v>320</v>
      </c>
      <c r="C50" s="106">
        <f t="shared" si="11"/>
        <v>37</v>
      </c>
      <c r="D50" s="107" t="s">
        <v>60</v>
      </c>
      <c r="E50" s="107" t="s">
        <v>88</v>
      </c>
      <c r="F50" s="176" t="s">
        <v>146</v>
      </c>
      <c r="G50" s="109">
        <v>5.91E-2</v>
      </c>
      <c r="H50" s="110" t="s">
        <v>103</v>
      </c>
      <c r="I50" s="111">
        <v>17000</v>
      </c>
      <c r="J50" s="171">
        <f t="shared" si="13"/>
        <v>1004.7</v>
      </c>
      <c r="K50" s="113">
        <f t="shared" si="0"/>
        <v>37</v>
      </c>
      <c r="L50" s="108" t="str">
        <f t="shared" si="4"/>
        <v>GUNTING</v>
      </c>
      <c r="M50" s="114" t="str">
        <f t="shared" si="5"/>
        <v>Plasma II</v>
      </c>
      <c r="N50" s="115">
        <f t="shared" si="6"/>
        <v>5.91E-2</v>
      </c>
      <c r="O50" s="116" t="str">
        <f t="shared" si="7"/>
        <v>PCS</v>
      </c>
      <c r="P50" s="115">
        <f t="shared" si="8"/>
        <v>17000</v>
      </c>
      <c r="Q50" s="117">
        <f t="shared" si="9"/>
        <v>1004.7</v>
      </c>
      <c r="R50" s="118">
        <f t="shared" si="10"/>
        <v>0</v>
      </c>
      <c r="S50" s="27"/>
      <c r="T50" s="27"/>
      <c r="U50" s="27"/>
      <c r="V50" s="27"/>
      <c r="W50" s="27"/>
      <c r="X50" s="27"/>
      <c r="Y50" s="29"/>
    </row>
    <row r="51" spans="1:25" s="30" customFormat="1" ht="18" x14ac:dyDescent="0.35">
      <c r="A51" s="30" t="s">
        <v>320</v>
      </c>
      <c r="C51" s="106">
        <f t="shared" si="11"/>
        <v>38</v>
      </c>
      <c r="D51" s="107" t="s">
        <v>60</v>
      </c>
      <c r="E51" s="107" t="s">
        <v>88</v>
      </c>
      <c r="F51" s="176" t="s">
        <v>131</v>
      </c>
      <c r="G51" s="109">
        <v>0.29549999999999998</v>
      </c>
      <c r="H51" s="110" t="s">
        <v>103</v>
      </c>
      <c r="I51" s="111">
        <v>5000</v>
      </c>
      <c r="J51" s="171">
        <f t="shared" si="13"/>
        <v>1477.5</v>
      </c>
      <c r="K51" s="113">
        <f t="shared" si="0"/>
        <v>38</v>
      </c>
      <c r="L51" s="108" t="str">
        <f t="shared" ref="L51:L60" si="14">F52</f>
        <v>POST IT</v>
      </c>
      <c r="M51" s="114" t="str">
        <f t="shared" si="5"/>
        <v>Plasma II</v>
      </c>
      <c r="N51" s="115">
        <f t="shared" si="6"/>
        <v>0.1182</v>
      </c>
      <c r="O51" s="116" t="str">
        <f t="shared" ref="O51:O60" si="15">H52</f>
        <v>PCS</v>
      </c>
      <c r="P51" s="115">
        <f t="shared" si="8"/>
        <v>24000</v>
      </c>
      <c r="Q51" s="117">
        <f t="shared" si="9"/>
        <v>2836.8</v>
      </c>
      <c r="R51" s="118">
        <f>J52-Q51</f>
        <v>0</v>
      </c>
      <c r="S51" s="27"/>
      <c r="T51" s="27"/>
      <c r="U51" s="27"/>
      <c r="V51" s="27"/>
      <c r="W51" s="27"/>
      <c r="X51" s="27"/>
      <c r="Y51" s="29"/>
    </row>
    <row r="52" spans="1:25" s="30" customFormat="1" ht="18" x14ac:dyDescent="0.35">
      <c r="A52" s="30" t="s">
        <v>320</v>
      </c>
      <c r="C52" s="106">
        <f t="shared" si="11"/>
        <v>39</v>
      </c>
      <c r="D52" s="107" t="s">
        <v>60</v>
      </c>
      <c r="E52" s="107" t="s">
        <v>88</v>
      </c>
      <c r="F52" s="176" t="s">
        <v>147</v>
      </c>
      <c r="G52" s="109">
        <v>0.1182</v>
      </c>
      <c r="H52" s="110" t="s">
        <v>103</v>
      </c>
      <c r="I52" s="111">
        <v>24000</v>
      </c>
      <c r="J52" s="171">
        <f t="shared" si="13"/>
        <v>2836.8</v>
      </c>
      <c r="K52" s="113">
        <f t="shared" si="0"/>
        <v>39</v>
      </c>
      <c r="L52" s="108" t="str">
        <f t="shared" si="14"/>
        <v>STELLA MATIC REFILL</v>
      </c>
      <c r="M52" s="114" t="str">
        <f t="shared" si="5"/>
        <v>Plasma II</v>
      </c>
      <c r="N52" s="115">
        <f t="shared" si="6"/>
        <v>0.17730000000000001</v>
      </c>
      <c r="O52" s="116" t="str">
        <f t="shared" si="15"/>
        <v>PCS</v>
      </c>
      <c r="P52" s="115">
        <f t="shared" si="8"/>
        <v>37000</v>
      </c>
      <c r="Q52" s="117">
        <f t="shared" si="9"/>
        <v>6560.1</v>
      </c>
      <c r="R52" s="118">
        <f t="shared" ref="R52:R60" si="16">J53-Q52</f>
        <v>0</v>
      </c>
      <c r="S52" s="27"/>
      <c r="T52" s="27"/>
      <c r="U52" s="27"/>
      <c r="V52" s="27"/>
      <c r="W52" s="27"/>
      <c r="X52" s="27"/>
      <c r="Y52" s="29"/>
    </row>
    <row r="53" spans="1:25" s="30" customFormat="1" ht="18" x14ac:dyDescent="0.35">
      <c r="A53" s="30" t="s">
        <v>320</v>
      </c>
      <c r="C53" s="106">
        <f t="shared" si="11"/>
        <v>40</v>
      </c>
      <c r="D53" s="107" t="s">
        <v>60</v>
      </c>
      <c r="E53" s="107" t="s">
        <v>88</v>
      </c>
      <c r="F53" s="176" t="s">
        <v>107</v>
      </c>
      <c r="G53" s="109">
        <v>0.17730000000000001</v>
      </c>
      <c r="H53" s="110" t="s">
        <v>103</v>
      </c>
      <c r="I53" s="111">
        <v>37000</v>
      </c>
      <c r="J53" s="171">
        <f t="shared" si="13"/>
        <v>6560.1</v>
      </c>
      <c r="K53" s="113">
        <f t="shared" si="0"/>
        <v>40</v>
      </c>
      <c r="L53" s="108" t="str">
        <f t="shared" si="14"/>
        <v>TISSU 900GR</v>
      </c>
      <c r="M53" s="114" t="str">
        <f t="shared" si="5"/>
        <v>Plasma II</v>
      </c>
      <c r="N53" s="115">
        <f t="shared" si="6"/>
        <v>5.91E-2</v>
      </c>
      <c r="O53" s="116" t="str">
        <f t="shared" si="15"/>
        <v>PCS</v>
      </c>
      <c r="P53" s="115">
        <f t="shared" si="8"/>
        <v>50000</v>
      </c>
      <c r="Q53" s="117">
        <f t="shared" si="9"/>
        <v>2955</v>
      </c>
      <c r="R53" s="118">
        <f t="shared" si="16"/>
        <v>0</v>
      </c>
      <c r="S53" s="27"/>
      <c r="T53" s="27"/>
      <c r="U53" s="27"/>
      <c r="V53" s="27"/>
      <c r="W53" s="27"/>
      <c r="X53" s="27"/>
      <c r="Y53" s="29"/>
    </row>
    <row r="54" spans="1:25" s="30" customFormat="1" ht="18" x14ac:dyDescent="0.35">
      <c r="A54" s="30" t="s">
        <v>320</v>
      </c>
      <c r="C54" s="106">
        <f t="shared" si="11"/>
        <v>41</v>
      </c>
      <c r="D54" s="107" t="s">
        <v>60</v>
      </c>
      <c r="E54" s="107" t="s">
        <v>88</v>
      </c>
      <c r="F54" s="176" t="s">
        <v>108</v>
      </c>
      <c r="G54" s="109">
        <v>5.91E-2</v>
      </c>
      <c r="H54" s="110" t="s">
        <v>103</v>
      </c>
      <c r="I54" s="111">
        <v>50000</v>
      </c>
      <c r="J54" s="171">
        <f t="shared" si="13"/>
        <v>2955</v>
      </c>
      <c r="K54" s="113">
        <f t="shared" si="0"/>
        <v>41</v>
      </c>
      <c r="L54" s="108" t="str">
        <f t="shared" si="14"/>
        <v>SOKLIN LANTAI</v>
      </c>
      <c r="M54" s="114" t="str">
        <f t="shared" si="5"/>
        <v>Plasma II</v>
      </c>
      <c r="N54" s="115">
        <f t="shared" si="6"/>
        <v>0.4728</v>
      </c>
      <c r="O54" s="116" t="str">
        <f t="shared" si="15"/>
        <v>PCS</v>
      </c>
      <c r="P54" s="115">
        <f t="shared" si="8"/>
        <v>16000</v>
      </c>
      <c r="Q54" s="117">
        <f t="shared" si="9"/>
        <v>7564.8</v>
      </c>
      <c r="R54" s="118">
        <f t="shared" si="16"/>
        <v>-4728</v>
      </c>
      <c r="S54" s="27"/>
      <c r="T54" s="27"/>
      <c r="U54" s="27"/>
      <c r="V54" s="27"/>
      <c r="W54" s="27"/>
      <c r="X54" s="27"/>
      <c r="Y54" s="29"/>
    </row>
    <row r="55" spans="1:25" s="30" customFormat="1" ht="18" x14ac:dyDescent="0.35">
      <c r="A55" s="30" t="s">
        <v>320</v>
      </c>
      <c r="C55" s="106">
        <f t="shared" si="11"/>
        <v>42</v>
      </c>
      <c r="D55" s="107" t="s">
        <v>60</v>
      </c>
      <c r="E55" s="107" t="s">
        <v>88</v>
      </c>
      <c r="F55" s="178" t="s">
        <v>106</v>
      </c>
      <c r="G55" s="109">
        <v>0.17730000000000001</v>
      </c>
      <c r="H55" s="110" t="s">
        <v>103</v>
      </c>
      <c r="I55" s="111">
        <v>16000</v>
      </c>
      <c r="J55" s="171">
        <f t="shared" si="13"/>
        <v>2836.8</v>
      </c>
      <c r="K55" s="113">
        <f t="shared" si="0"/>
        <v>42</v>
      </c>
      <c r="L55" s="108" t="str">
        <f t="shared" si="14"/>
        <v>MESIN POMPA AIR PANASONIC GP 200 JXK NON OTOMATIS</v>
      </c>
      <c r="M55" s="114" t="str">
        <f t="shared" si="5"/>
        <v>Plasma II</v>
      </c>
      <c r="N55" s="115">
        <f t="shared" si="6"/>
        <v>5.91E-2</v>
      </c>
      <c r="O55" s="116" t="str">
        <f t="shared" si="15"/>
        <v>UNIT</v>
      </c>
      <c r="P55" s="115">
        <f t="shared" si="8"/>
        <v>854800</v>
      </c>
      <c r="Q55" s="117">
        <f t="shared" si="9"/>
        <v>50518.68</v>
      </c>
      <c r="R55" s="118">
        <f t="shared" si="16"/>
        <v>0</v>
      </c>
      <c r="S55" s="27"/>
      <c r="T55" s="27"/>
      <c r="U55" s="27"/>
      <c r="V55" s="27"/>
      <c r="W55" s="27"/>
      <c r="X55" s="27"/>
      <c r="Y55" s="119"/>
    </row>
    <row r="56" spans="1:25" s="30" customFormat="1" ht="18" x14ac:dyDescent="0.35">
      <c r="A56" s="30" t="s">
        <v>320</v>
      </c>
      <c r="C56" s="106">
        <f t="shared" si="11"/>
        <v>43</v>
      </c>
      <c r="D56" s="107" t="s">
        <v>60</v>
      </c>
      <c r="E56" s="107" t="s">
        <v>88</v>
      </c>
      <c r="F56" s="178" t="s">
        <v>148</v>
      </c>
      <c r="G56" s="109">
        <v>5.91E-2</v>
      </c>
      <c r="H56" s="110" t="s">
        <v>113</v>
      </c>
      <c r="I56" s="111">
        <v>854800</v>
      </c>
      <c r="J56" s="171">
        <f t="shared" si="13"/>
        <v>50518.68</v>
      </c>
      <c r="K56" s="113">
        <f t="shared" si="0"/>
        <v>43</v>
      </c>
      <c r="L56" s="108" t="str">
        <f t="shared" si="14"/>
        <v>RAPIKA</v>
      </c>
      <c r="M56" s="114" t="str">
        <f t="shared" si="5"/>
        <v>Plasma II</v>
      </c>
      <c r="N56" s="115">
        <f t="shared" si="6"/>
        <v>0.1182</v>
      </c>
      <c r="O56" s="116" t="str">
        <f t="shared" si="15"/>
        <v>BTL</v>
      </c>
      <c r="P56" s="115">
        <f t="shared" si="8"/>
        <v>11000</v>
      </c>
      <c r="Q56" s="117">
        <f t="shared" si="9"/>
        <v>1300.2</v>
      </c>
      <c r="R56" s="118">
        <f t="shared" si="16"/>
        <v>0</v>
      </c>
      <c r="S56" s="27"/>
      <c r="T56" s="27"/>
      <c r="U56" s="27"/>
      <c r="V56" s="27"/>
      <c r="W56" s="27"/>
      <c r="X56" s="27"/>
      <c r="Y56" s="119"/>
    </row>
    <row r="57" spans="1:25" s="30" customFormat="1" ht="18" x14ac:dyDescent="0.35">
      <c r="A57" s="30" t="s">
        <v>320</v>
      </c>
      <c r="C57" s="106">
        <f t="shared" si="11"/>
        <v>44</v>
      </c>
      <c r="D57" s="107" t="s">
        <v>60</v>
      </c>
      <c r="E57" s="107" t="s">
        <v>88</v>
      </c>
      <c r="F57" s="179" t="s">
        <v>149</v>
      </c>
      <c r="G57" s="109">
        <v>0.1182</v>
      </c>
      <c r="H57" s="110" t="s">
        <v>112</v>
      </c>
      <c r="I57" s="111">
        <v>11000</v>
      </c>
      <c r="J57" s="171">
        <f t="shared" si="13"/>
        <v>1300.2</v>
      </c>
      <c r="K57" s="113">
        <f t="shared" si="0"/>
        <v>44</v>
      </c>
      <c r="L57" s="108" t="str">
        <f t="shared" si="14"/>
        <v>SIKAT GIGI</v>
      </c>
      <c r="M57" s="114" t="str">
        <f t="shared" si="5"/>
        <v>Plasma II</v>
      </c>
      <c r="N57" s="115">
        <f t="shared" si="6"/>
        <v>0.70920000000000005</v>
      </c>
      <c r="O57" s="116" t="str">
        <f t="shared" si="15"/>
        <v>BH</v>
      </c>
      <c r="P57" s="115">
        <f t="shared" si="8"/>
        <v>12000.000000000002</v>
      </c>
      <c r="Q57" s="117">
        <f t="shared" si="9"/>
        <v>8510.4000000000015</v>
      </c>
      <c r="R57" s="118">
        <f t="shared" si="16"/>
        <v>0</v>
      </c>
      <c r="S57" s="27"/>
      <c r="T57" s="27"/>
      <c r="U57" s="27"/>
      <c r="V57" s="27"/>
      <c r="W57" s="27"/>
      <c r="X57" s="27"/>
      <c r="Y57" s="29"/>
    </row>
    <row r="58" spans="1:25" s="30" customFormat="1" ht="18" x14ac:dyDescent="0.35">
      <c r="A58" s="30" t="s">
        <v>320</v>
      </c>
      <c r="C58" s="106">
        <f t="shared" si="11"/>
        <v>45</v>
      </c>
      <c r="D58" s="107" t="s">
        <v>60</v>
      </c>
      <c r="E58" s="107" t="s">
        <v>88</v>
      </c>
      <c r="F58" s="176" t="s">
        <v>150</v>
      </c>
      <c r="G58" s="109">
        <v>0.70920000000000005</v>
      </c>
      <c r="H58" s="110" t="s">
        <v>166</v>
      </c>
      <c r="I58" s="111">
        <v>12000</v>
      </c>
      <c r="J58" s="171">
        <f t="shared" si="13"/>
        <v>8510.4000000000015</v>
      </c>
      <c r="K58" s="113">
        <f t="shared" si="0"/>
        <v>45</v>
      </c>
      <c r="L58" s="108" t="str">
        <f t="shared" si="14"/>
        <v>SHAMPO KECIL</v>
      </c>
      <c r="M58" s="114" t="str">
        <f t="shared" si="5"/>
        <v>Plasma II</v>
      </c>
      <c r="N58" s="115">
        <f t="shared" si="6"/>
        <v>0.35460000000000003</v>
      </c>
      <c r="O58" s="116" t="str">
        <f t="shared" si="15"/>
        <v>BTL</v>
      </c>
      <c r="P58" s="115">
        <f t="shared" si="8"/>
        <v>32000</v>
      </c>
      <c r="Q58" s="117">
        <f t="shared" si="9"/>
        <v>11347.2</v>
      </c>
      <c r="R58" s="118">
        <f t="shared" si="16"/>
        <v>0</v>
      </c>
      <c r="S58" s="27"/>
      <c r="T58" s="27"/>
      <c r="U58" s="27"/>
      <c r="V58" s="27"/>
      <c r="W58" s="27"/>
      <c r="X58" s="27"/>
      <c r="Y58" s="29"/>
    </row>
    <row r="59" spans="1:25" s="30" customFormat="1" ht="18" x14ac:dyDescent="0.35">
      <c r="A59" s="30" t="s">
        <v>320</v>
      </c>
      <c r="C59" s="106">
        <f t="shared" si="11"/>
        <v>46</v>
      </c>
      <c r="D59" s="107" t="s">
        <v>60</v>
      </c>
      <c r="E59" s="107" t="s">
        <v>88</v>
      </c>
      <c r="F59" s="176" t="s">
        <v>151</v>
      </c>
      <c r="G59" s="109">
        <v>0.35460000000000003</v>
      </c>
      <c r="H59" s="110" t="s">
        <v>112</v>
      </c>
      <c r="I59" s="111">
        <v>32000</v>
      </c>
      <c r="J59" s="171">
        <f t="shared" si="13"/>
        <v>11347.2</v>
      </c>
      <c r="K59" s="113">
        <f t="shared" si="0"/>
        <v>46</v>
      </c>
      <c r="L59" s="108" t="str">
        <f t="shared" si="14"/>
        <v>SABUN MANDI</v>
      </c>
      <c r="M59" s="114" t="str">
        <f t="shared" si="5"/>
        <v>Plasma II</v>
      </c>
      <c r="N59" s="115">
        <f t="shared" si="6"/>
        <v>0.35460000000000003</v>
      </c>
      <c r="O59" s="116" t="str">
        <f t="shared" si="15"/>
        <v>BKS</v>
      </c>
      <c r="P59" s="115">
        <f t="shared" si="8"/>
        <v>16000</v>
      </c>
      <c r="Q59" s="117">
        <f t="shared" si="9"/>
        <v>5673.6</v>
      </c>
      <c r="R59" s="118">
        <f t="shared" si="16"/>
        <v>0</v>
      </c>
      <c r="S59" s="27"/>
      <c r="T59" s="27"/>
      <c r="U59" s="27"/>
      <c r="V59" s="27"/>
      <c r="W59" s="27"/>
      <c r="X59" s="27"/>
      <c r="Y59" s="29"/>
    </row>
    <row r="60" spans="1:25" s="30" customFormat="1" ht="18" x14ac:dyDescent="0.35">
      <c r="A60" s="30" t="s">
        <v>320</v>
      </c>
      <c r="C60" s="106">
        <f t="shared" si="11"/>
        <v>47</v>
      </c>
      <c r="D60" s="107" t="s">
        <v>60</v>
      </c>
      <c r="E60" s="107" t="s">
        <v>88</v>
      </c>
      <c r="F60" s="176" t="s">
        <v>152</v>
      </c>
      <c r="G60" s="109">
        <v>0.35460000000000003</v>
      </c>
      <c r="H60" s="110" t="s">
        <v>167</v>
      </c>
      <c r="I60" s="111">
        <v>16000</v>
      </c>
      <c r="J60" s="171">
        <f t="shared" si="13"/>
        <v>5673.6</v>
      </c>
      <c r="K60" s="113">
        <f t="shared" si="0"/>
        <v>47</v>
      </c>
      <c r="L60" s="108" t="str">
        <f t="shared" si="14"/>
        <v>SAPU LIDI</v>
      </c>
      <c r="M60" s="114" t="str">
        <f t="shared" si="5"/>
        <v>Plasma II</v>
      </c>
      <c r="N60" s="115">
        <f t="shared" si="6"/>
        <v>0.29549999999999998</v>
      </c>
      <c r="O60" s="116" t="str">
        <f t="shared" si="15"/>
        <v>BH</v>
      </c>
      <c r="P60" s="115">
        <f t="shared" si="8"/>
        <v>20000</v>
      </c>
      <c r="Q60" s="117">
        <f t="shared" si="9"/>
        <v>5910</v>
      </c>
      <c r="R60" s="118">
        <f t="shared" si="16"/>
        <v>0</v>
      </c>
      <c r="S60" s="27"/>
      <c r="T60" s="27"/>
      <c r="U60" s="27"/>
      <c r="V60" s="27"/>
      <c r="W60" s="27"/>
      <c r="X60" s="27"/>
      <c r="Y60" s="29"/>
    </row>
    <row r="61" spans="1:25" s="30" customFormat="1" ht="18" x14ac:dyDescent="0.35">
      <c r="A61" s="30" t="s">
        <v>320</v>
      </c>
      <c r="C61" s="106">
        <f t="shared" si="11"/>
        <v>48</v>
      </c>
      <c r="D61" s="107" t="s">
        <v>60</v>
      </c>
      <c r="E61" s="107" t="s">
        <v>88</v>
      </c>
      <c r="F61" s="176" t="s">
        <v>153</v>
      </c>
      <c r="G61" s="109">
        <v>0.29549999999999998</v>
      </c>
      <c r="H61" s="110" t="s">
        <v>166</v>
      </c>
      <c r="I61" s="111">
        <v>20000</v>
      </c>
      <c r="J61" s="177">
        <f t="shared" ref="J61:J81" si="17">G61*I61</f>
        <v>5910</v>
      </c>
      <c r="K61" s="113">
        <f t="shared" si="0"/>
        <v>48</v>
      </c>
      <c r="L61" s="108" t="str">
        <f>F63</f>
        <v>BAYCLIN 1 LTR</v>
      </c>
      <c r="M61" s="114" t="str">
        <f t="shared" si="5"/>
        <v>Plasma II</v>
      </c>
      <c r="N61" s="115">
        <f t="shared" si="6"/>
        <v>0.1182</v>
      </c>
      <c r="O61" s="116" t="str">
        <f t="shared" ref="O61:O67" si="18">H63</f>
        <v>BTL</v>
      </c>
      <c r="P61" s="115">
        <f t="shared" si="8"/>
        <v>27000</v>
      </c>
      <c r="Q61" s="117">
        <f t="shared" si="9"/>
        <v>3191.4</v>
      </c>
      <c r="R61" s="118">
        <f>J63-Q61</f>
        <v>0</v>
      </c>
      <c r="S61" s="27"/>
      <c r="T61" s="27"/>
      <c r="U61" s="27"/>
      <c r="V61" s="27"/>
      <c r="W61" s="27"/>
      <c r="X61" s="27"/>
      <c r="Y61" s="29"/>
    </row>
    <row r="62" spans="1:25" s="30" customFormat="1" ht="18" x14ac:dyDescent="0.35">
      <c r="A62" s="30" t="s">
        <v>320</v>
      </c>
      <c r="C62" s="106">
        <f t="shared" si="11"/>
        <v>49</v>
      </c>
      <c r="D62" s="107" t="s">
        <v>60</v>
      </c>
      <c r="E62" s="107" t="s">
        <v>88</v>
      </c>
      <c r="F62" s="176" t="s">
        <v>106</v>
      </c>
      <c r="G62" s="109">
        <v>0.1182</v>
      </c>
      <c r="H62" s="110" t="s">
        <v>167</v>
      </c>
      <c r="I62" s="111">
        <v>16000</v>
      </c>
      <c r="J62" s="177">
        <f t="shared" si="17"/>
        <v>1891.2</v>
      </c>
      <c r="K62" s="113">
        <f t="shared" si="0"/>
        <v>49</v>
      </c>
      <c r="L62" s="108" t="str">
        <f>F64</f>
        <v>JAM DINDING MIRADO</v>
      </c>
      <c r="M62" s="114" t="str">
        <f t="shared" si="5"/>
        <v>Plasma II</v>
      </c>
      <c r="N62" s="115">
        <f t="shared" si="6"/>
        <v>5.91E-2</v>
      </c>
      <c r="O62" s="116" t="str">
        <f t="shared" si="18"/>
        <v>BH</v>
      </c>
      <c r="P62" s="115">
        <f t="shared" si="8"/>
        <v>225000</v>
      </c>
      <c r="Q62" s="117">
        <f t="shared" si="9"/>
        <v>13297.5</v>
      </c>
      <c r="R62" s="118">
        <f t="shared" ref="R62:R64" si="19">J64-Q62</f>
        <v>0</v>
      </c>
      <c r="S62" s="27"/>
      <c r="T62" s="27"/>
      <c r="U62" s="27"/>
      <c r="V62" s="27"/>
      <c r="W62" s="27"/>
      <c r="X62" s="27"/>
      <c r="Y62" s="29"/>
    </row>
    <row r="63" spans="1:25" s="30" customFormat="1" ht="18" x14ac:dyDescent="0.35">
      <c r="A63" s="30" t="s">
        <v>320</v>
      </c>
      <c r="C63" s="106">
        <f t="shared" si="11"/>
        <v>50</v>
      </c>
      <c r="D63" s="107" t="s">
        <v>60</v>
      </c>
      <c r="E63" s="107" t="s">
        <v>88</v>
      </c>
      <c r="F63" s="176" t="s">
        <v>154</v>
      </c>
      <c r="G63" s="109">
        <v>0.1182</v>
      </c>
      <c r="H63" s="110" t="s">
        <v>112</v>
      </c>
      <c r="I63" s="111">
        <v>27000</v>
      </c>
      <c r="J63" s="177">
        <f t="shared" si="17"/>
        <v>3191.4</v>
      </c>
      <c r="K63" s="113">
        <f t="shared" si="0"/>
        <v>50</v>
      </c>
      <c r="L63" s="108" t="str">
        <f>F65</f>
        <v>BANTALAN STEMPEL</v>
      </c>
      <c r="M63" s="114" t="str">
        <f t="shared" si="5"/>
        <v>Plasma II</v>
      </c>
      <c r="N63" s="115">
        <f t="shared" si="6"/>
        <v>5.91E-2</v>
      </c>
      <c r="O63" s="116" t="str">
        <f t="shared" si="18"/>
        <v>BH</v>
      </c>
      <c r="P63" s="115">
        <f t="shared" si="8"/>
        <v>12000</v>
      </c>
      <c r="Q63" s="117">
        <f t="shared" si="9"/>
        <v>709.2</v>
      </c>
      <c r="R63" s="118">
        <f t="shared" si="19"/>
        <v>0</v>
      </c>
      <c r="S63" s="27"/>
      <c r="T63" s="27"/>
      <c r="U63" s="27"/>
      <c r="V63" s="27"/>
      <c r="W63" s="27"/>
      <c r="X63" s="27"/>
      <c r="Y63" s="29"/>
    </row>
    <row r="64" spans="1:25" s="30" customFormat="1" ht="18" x14ac:dyDescent="0.35">
      <c r="A64" s="30" t="s">
        <v>320</v>
      </c>
      <c r="C64" s="106">
        <f t="shared" si="11"/>
        <v>51</v>
      </c>
      <c r="D64" s="107" t="s">
        <v>60</v>
      </c>
      <c r="E64" s="107" t="s">
        <v>88</v>
      </c>
      <c r="F64" s="108" t="s">
        <v>155</v>
      </c>
      <c r="G64" s="109">
        <v>5.91E-2</v>
      </c>
      <c r="H64" s="110" t="s">
        <v>166</v>
      </c>
      <c r="I64" s="111">
        <v>225000</v>
      </c>
      <c r="J64" s="177">
        <f t="shared" si="17"/>
        <v>13297.5</v>
      </c>
      <c r="K64" s="113">
        <f t="shared" si="0"/>
        <v>51</v>
      </c>
      <c r="L64" s="108" t="str">
        <f>F66</f>
        <v>ALAT PRASMANAN</v>
      </c>
      <c r="M64" s="114" t="str">
        <f t="shared" si="5"/>
        <v>Plasma II</v>
      </c>
      <c r="N64" s="115">
        <f t="shared" si="6"/>
        <v>0.29549999999999998</v>
      </c>
      <c r="O64" s="116" t="str">
        <f t="shared" si="18"/>
        <v>BH</v>
      </c>
      <c r="P64" s="115">
        <f t="shared" si="8"/>
        <v>100000</v>
      </c>
      <c r="Q64" s="117">
        <f t="shared" si="9"/>
        <v>29550</v>
      </c>
      <c r="R64" s="118">
        <f t="shared" si="19"/>
        <v>0</v>
      </c>
      <c r="S64" s="27"/>
      <c r="T64" s="27"/>
      <c r="U64" s="27"/>
      <c r="V64" s="27"/>
      <c r="W64" s="27"/>
      <c r="X64" s="27"/>
      <c r="Y64" s="29"/>
    </row>
    <row r="65" spans="1:25" s="30" customFormat="1" ht="18" x14ac:dyDescent="0.35">
      <c r="A65" s="30" t="s">
        <v>320</v>
      </c>
      <c r="C65" s="106">
        <f t="shared" si="11"/>
        <v>52</v>
      </c>
      <c r="D65" s="107" t="s">
        <v>60</v>
      </c>
      <c r="E65" s="107" t="s">
        <v>88</v>
      </c>
      <c r="F65" s="108" t="s">
        <v>156</v>
      </c>
      <c r="G65" s="109">
        <v>5.91E-2</v>
      </c>
      <c r="H65" s="110" t="s">
        <v>166</v>
      </c>
      <c r="I65" s="111">
        <v>12000</v>
      </c>
      <c r="J65" s="177">
        <f t="shared" si="17"/>
        <v>709.2</v>
      </c>
      <c r="K65" s="113">
        <f t="shared" si="0"/>
        <v>52</v>
      </c>
      <c r="L65" s="108" t="str">
        <f t="shared" ref="L65:L72" si="20">F68</f>
        <v>DAIA</v>
      </c>
      <c r="M65" s="114" t="str">
        <f t="shared" si="5"/>
        <v>Plasma II</v>
      </c>
      <c r="N65" s="115">
        <f t="shared" si="6"/>
        <v>0.1182</v>
      </c>
      <c r="O65" s="116" t="str">
        <f t="shared" si="18"/>
        <v>PCS</v>
      </c>
      <c r="P65" s="115">
        <f t="shared" si="8"/>
        <v>22000</v>
      </c>
      <c r="Q65" s="117">
        <f t="shared" si="9"/>
        <v>2600.4</v>
      </c>
      <c r="R65" s="118">
        <f>J67-Q65</f>
        <v>236.40000000000009</v>
      </c>
      <c r="S65" s="27"/>
      <c r="T65" s="27"/>
      <c r="U65" s="27"/>
      <c r="V65" s="27"/>
      <c r="W65" s="27"/>
      <c r="X65" s="27"/>
      <c r="Y65" s="29"/>
    </row>
    <row r="66" spans="1:25" s="30" customFormat="1" ht="18" x14ac:dyDescent="0.35">
      <c r="A66" s="30" t="s">
        <v>320</v>
      </c>
      <c r="C66" s="106">
        <f t="shared" si="11"/>
        <v>53</v>
      </c>
      <c r="D66" s="107" t="s">
        <v>60</v>
      </c>
      <c r="E66" s="107" t="s">
        <v>88</v>
      </c>
      <c r="F66" s="108" t="s">
        <v>157</v>
      </c>
      <c r="G66" s="109">
        <v>0.29549999999999998</v>
      </c>
      <c r="H66" s="110" t="s">
        <v>166</v>
      </c>
      <c r="I66" s="111">
        <v>100000</v>
      </c>
      <c r="J66" s="177">
        <f t="shared" si="17"/>
        <v>29550</v>
      </c>
      <c r="K66" s="113">
        <f t="shared" si="0"/>
        <v>53</v>
      </c>
      <c r="L66" s="108" t="str">
        <f t="shared" si="20"/>
        <v>PLEDGE 1LTR</v>
      </c>
      <c r="M66" s="114" t="str">
        <f t="shared" si="5"/>
        <v>Plasma II</v>
      </c>
      <c r="N66" s="115">
        <f t="shared" si="6"/>
        <v>0.17730000000000001</v>
      </c>
      <c r="O66" s="116" t="str">
        <f t="shared" si="18"/>
        <v>PCS</v>
      </c>
      <c r="P66" s="115">
        <f t="shared" si="8"/>
        <v>45000</v>
      </c>
      <c r="Q66" s="117">
        <f t="shared" si="9"/>
        <v>7978.5000000000009</v>
      </c>
      <c r="R66" s="118">
        <f>J69-Q66</f>
        <v>0</v>
      </c>
      <c r="S66" s="27"/>
      <c r="T66" s="27"/>
      <c r="U66" s="27"/>
      <c r="V66" s="27"/>
      <c r="W66" s="27"/>
      <c r="X66" s="27"/>
      <c r="Y66" s="29"/>
    </row>
    <row r="67" spans="1:25" s="30" customFormat="1" ht="18" x14ac:dyDescent="0.35">
      <c r="A67" s="30" t="s">
        <v>320</v>
      </c>
      <c r="C67" s="106">
        <f t="shared" si="11"/>
        <v>54</v>
      </c>
      <c r="D67" s="107" t="s">
        <v>60</v>
      </c>
      <c r="E67" s="107" t="s">
        <v>88</v>
      </c>
      <c r="F67" s="108" t="s">
        <v>106</v>
      </c>
      <c r="G67" s="109">
        <v>0.17730000000000001</v>
      </c>
      <c r="H67" s="110" t="s">
        <v>103</v>
      </c>
      <c r="I67" s="111">
        <v>16000</v>
      </c>
      <c r="J67" s="177">
        <f t="shared" si="17"/>
        <v>2836.8</v>
      </c>
      <c r="K67" s="113">
        <f t="shared" si="0"/>
        <v>54</v>
      </c>
      <c r="L67" s="108" t="str">
        <f t="shared" si="20"/>
        <v>BAYKLIN 1LTR</v>
      </c>
      <c r="M67" s="114" t="str">
        <f t="shared" si="5"/>
        <v>Plasma II</v>
      </c>
      <c r="N67" s="115">
        <f t="shared" si="6"/>
        <v>0.1182</v>
      </c>
      <c r="O67" s="116" t="str">
        <f t="shared" si="18"/>
        <v>PCS</v>
      </c>
      <c r="P67" s="115">
        <f t="shared" si="8"/>
        <v>27000</v>
      </c>
      <c r="Q67" s="117">
        <f t="shared" si="9"/>
        <v>3191.4</v>
      </c>
      <c r="R67" s="118">
        <f>J70-Q67</f>
        <v>0</v>
      </c>
      <c r="S67" s="27"/>
      <c r="T67" s="27"/>
      <c r="U67" s="27"/>
      <c r="V67" s="27"/>
      <c r="W67" s="27"/>
      <c r="X67" s="27"/>
      <c r="Y67" s="29"/>
    </row>
    <row r="68" spans="1:25" s="30" customFormat="1" ht="18" x14ac:dyDescent="0.35">
      <c r="A68" s="30" t="s">
        <v>320</v>
      </c>
      <c r="C68" s="106">
        <f t="shared" si="11"/>
        <v>55</v>
      </c>
      <c r="D68" s="107" t="s">
        <v>60</v>
      </c>
      <c r="E68" s="107" t="s">
        <v>88</v>
      </c>
      <c r="F68" s="108" t="s">
        <v>109</v>
      </c>
      <c r="G68" s="109">
        <v>5.91E-2</v>
      </c>
      <c r="H68" s="110" t="s">
        <v>103</v>
      </c>
      <c r="I68" s="111">
        <v>22000</v>
      </c>
      <c r="J68" s="177">
        <f t="shared" si="17"/>
        <v>1300.2</v>
      </c>
      <c r="K68" s="113">
        <f t="shared" si="0"/>
        <v>55</v>
      </c>
      <c r="L68" s="108" t="str">
        <f t="shared" si="20"/>
        <v>VIXAL</v>
      </c>
      <c r="M68" s="114" t="str">
        <f t="shared" si="5"/>
        <v>Plasma II</v>
      </c>
      <c r="N68" s="115">
        <f t="shared" si="6"/>
        <v>0.35460000000000003</v>
      </c>
      <c r="O68" s="116" t="str">
        <f>H71</f>
        <v>PCS</v>
      </c>
      <c r="P68" s="115">
        <f t="shared" si="8"/>
        <v>24999.999999999996</v>
      </c>
      <c r="Q68" s="117">
        <f t="shared" si="9"/>
        <v>8865</v>
      </c>
      <c r="R68" s="118">
        <f>J71-Q68</f>
        <v>-5910</v>
      </c>
      <c r="S68" s="27"/>
      <c r="T68" s="27"/>
      <c r="U68" s="27"/>
      <c r="V68" s="27"/>
      <c r="W68" s="27"/>
      <c r="X68" s="27"/>
      <c r="Y68" s="29"/>
    </row>
    <row r="69" spans="1:25" s="30" customFormat="1" ht="18" x14ac:dyDescent="0.35">
      <c r="A69" s="30" t="s">
        <v>320</v>
      </c>
      <c r="C69" s="106">
        <f t="shared" si="11"/>
        <v>56</v>
      </c>
      <c r="D69" s="107" t="s">
        <v>60</v>
      </c>
      <c r="E69" s="107" t="s">
        <v>88</v>
      </c>
      <c r="F69" s="108" t="s">
        <v>158</v>
      </c>
      <c r="G69" s="109">
        <v>0.17730000000000001</v>
      </c>
      <c r="H69" s="110" t="s">
        <v>103</v>
      </c>
      <c r="I69" s="111">
        <v>45000</v>
      </c>
      <c r="J69" s="177">
        <f t="shared" si="17"/>
        <v>7978.5000000000009</v>
      </c>
      <c r="K69" s="113">
        <f t="shared" si="0"/>
        <v>56</v>
      </c>
      <c r="L69" s="108" t="str">
        <f t="shared" si="20"/>
        <v>TISSU PASEO SMART</v>
      </c>
      <c r="M69" s="114" t="str">
        <f t="shared" si="5"/>
        <v>Plasma II</v>
      </c>
      <c r="N69" s="115">
        <f t="shared" si="6"/>
        <v>0.2364</v>
      </c>
      <c r="O69" s="116" t="str">
        <f>H72</f>
        <v>PCS</v>
      </c>
      <c r="P69" s="115">
        <f t="shared" si="8"/>
        <v>12000</v>
      </c>
      <c r="Q69" s="117">
        <f t="shared" si="9"/>
        <v>2836.8</v>
      </c>
      <c r="R69" s="118">
        <f>J72-Q69</f>
        <v>0</v>
      </c>
      <c r="S69" s="27"/>
      <c r="T69" s="27"/>
      <c r="U69" s="27"/>
      <c r="V69" s="27"/>
      <c r="W69" s="27"/>
      <c r="X69" s="27"/>
      <c r="Y69" s="29"/>
    </row>
    <row r="70" spans="1:25" s="30" customFormat="1" ht="18" x14ac:dyDescent="0.35">
      <c r="A70" s="30" t="s">
        <v>320</v>
      </c>
      <c r="C70" s="106">
        <f t="shared" si="11"/>
        <v>57</v>
      </c>
      <c r="D70" s="107" t="s">
        <v>60</v>
      </c>
      <c r="E70" s="107" t="s">
        <v>88</v>
      </c>
      <c r="F70" s="108" t="s">
        <v>159</v>
      </c>
      <c r="G70" s="109">
        <v>0.1182</v>
      </c>
      <c r="H70" s="110" t="s">
        <v>103</v>
      </c>
      <c r="I70" s="111">
        <v>27000</v>
      </c>
      <c r="J70" s="177">
        <f t="shared" si="17"/>
        <v>3191.4</v>
      </c>
      <c r="K70" s="113">
        <f t="shared" si="0"/>
        <v>57</v>
      </c>
      <c r="L70" s="108" t="str">
        <f t="shared" si="20"/>
        <v>PLASTIK SAMPAH</v>
      </c>
      <c r="M70" s="114" t="str">
        <f t="shared" si="5"/>
        <v>Plasma II</v>
      </c>
      <c r="N70" s="115">
        <f t="shared" si="6"/>
        <v>0.1182</v>
      </c>
      <c r="O70" s="116" t="str">
        <f>H73</f>
        <v>PAK</v>
      </c>
      <c r="P70" s="115">
        <f t="shared" si="8"/>
        <v>35000</v>
      </c>
      <c r="Q70" s="117">
        <f t="shared" si="9"/>
        <v>4137</v>
      </c>
      <c r="R70" s="118">
        <f t="shared" ref="R70:R72" si="21">J73-Q70</f>
        <v>0</v>
      </c>
      <c r="S70" s="27"/>
      <c r="T70" s="27"/>
      <c r="U70" s="27"/>
      <c r="V70" s="27"/>
      <c r="W70" s="27"/>
      <c r="X70" s="27"/>
      <c r="Y70" s="29"/>
    </row>
    <row r="71" spans="1:25" s="30" customFormat="1" ht="18" x14ac:dyDescent="0.35">
      <c r="A71" s="30" t="s">
        <v>320</v>
      </c>
      <c r="C71" s="106">
        <f t="shared" si="11"/>
        <v>58</v>
      </c>
      <c r="D71" s="107" t="s">
        <v>60</v>
      </c>
      <c r="E71" s="107" t="s">
        <v>88</v>
      </c>
      <c r="F71" s="108" t="s">
        <v>160</v>
      </c>
      <c r="G71" s="109">
        <v>0.1182</v>
      </c>
      <c r="H71" s="110" t="s">
        <v>103</v>
      </c>
      <c r="I71" s="111">
        <v>25000</v>
      </c>
      <c r="J71" s="177">
        <f t="shared" si="17"/>
        <v>2955</v>
      </c>
      <c r="K71" s="113">
        <f t="shared" si="0"/>
        <v>58</v>
      </c>
      <c r="L71" s="108" t="str">
        <f t="shared" si="20"/>
        <v>KAPUR BARUS</v>
      </c>
      <c r="M71" s="114" t="str">
        <f t="shared" si="5"/>
        <v>Plasma II</v>
      </c>
      <c r="N71" s="115">
        <f t="shared" si="6"/>
        <v>0.29549999999999998</v>
      </c>
      <c r="O71" s="116" t="str">
        <f>H74</f>
        <v>PCS</v>
      </c>
      <c r="P71" s="115">
        <f t="shared" si="8"/>
        <v>29000</v>
      </c>
      <c r="Q71" s="117">
        <f t="shared" si="9"/>
        <v>8569.5</v>
      </c>
      <c r="R71" s="118">
        <f t="shared" si="21"/>
        <v>-5141.7</v>
      </c>
      <c r="S71" s="27"/>
      <c r="T71" s="27"/>
      <c r="U71" s="27"/>
      <c r="V71" s="27"/>
      <c r="W71" s="27"/>
      <c r="X71" s="27"/>
      <c r="Y71" s="29"/>
    </row>
    <row r="72" spans="1:25" s="30" customFormat="1" ht="18" x14ac:dyDescent="0.35">
      <c r="A72" s="30" t="s">
        <v>320</v>
      </c>
      <c r="C72" s="106">
        <f t="shared" si="11"/>
        <v>59</v>
      </c>
      <c r="D72" s="107" t="s">
        <v>60</v>
      </c>
      <c r="E72" s="107" t="s">
        <v>88</v>
      </c>
      <c r="F72" s="108" t="s">
        <v>161</v>
      </c>
      <c r="G72" s="109">
        <v>0.2364</v>
      </c>
      <c r="H72" s="110" t="s">
        <v>103</v>
      </c>
      <c r="I72" s="111">
        <v>12000</v>
      </c>
      <c r="J72" s="177">
        <f t="shared" si="17"/>
        <v>2836.8</v>
      </c>
      <c r="K72" s="113">
        <f t="shared" si="0"/>
        <v>59</v>
      </c>
      <c r="L72" s="108" t="str">
        <f t="shared" si="20"/>
        <v>WIPOL</v>
      </c>
      <c r="M72" s="114" t="str">
        <f t="shared" si="5"/>
        <v>Plasma II</v>
      </c>
      <c r="N72" s="115">
        <f t="shared" si="6"/>
        <v>0.1182</v>
      </c>
      <c r="O72" s="116" t="str">
        <f>H75</f>
        <v>PCS</v>
      </c>
      <c r="P72" s="115">
        <f t="shared" si="8"/>
        <v>37000</v>
      </c>
      <c r="Q72" s="117">
        <f t="shared" si="9"/>
        <v>4373.3999999999996</v>
      </c>
      <c r="R72" s="118">
        <f t="shared" si="21"/>
        <v>0</v>
      </c>
      <c r="S72" s="27"/>
      <c r="T72" s="27"/>
      <c r="U72" s="27"/>
      <c r="V72" s="27"/>
      <c r="W72" s="27"/>
      <c r="X72" s="27"/>
      <c r="Y72" s="29"/>
    </row>
    <row r="73" spans="1:25" s="30" customFormat="1" ht="18" x14ac:dyDescent="0.35">
      <c r="A73" s="30" t="s">
        <v>320</v>
      </c>
      <c r="C73" s="106">
        <f t="shared" si="11"/>
        <v>60</v>
      </c>
      <c r="D73" s="107" t="s">
        <v>60</v>
      </c>
      <c r="E73" s="107" t="s">
        <v>88</v>
      </c>
      <c r="F73" s="108" t="s">
        <v>162</v>
      </c>
      <c r="G73" s="109">
        <v>0.1182</v>
      </c>
      <c r="H73" s="110" t="s">
        <v>102</v>
      </c>
      <c r="I73" s="111">
        <v>35000</v>
      </c>
      <c r="J73" s="177">
        <f t="shared" si="17"/>
        <v>4137</v>
      </c>
      <c r="K73" s="113">
        <f t="shared" si="0"/>
        <v>60</v>
      </c>
      <c r="L73" s="108" t="str">
        <f>F78</f>
        <v>MAMA LEMON</v>
      </c>
      <c r="M73" s="114" t="str">
        <f t="shared" si="5"/>
        <v>Plasma II</v>
      </c>
      <c r="N73" s="115">
        <f t="shared" si="6"/>
        <v>5.91E-2</v>
      </c>
      <c r="O73" s="116" t="str">
        <f>H78</f>
        <v>PCS</v>
      </c>
      <c r="P73" s="115">
        <f t="shared" si="8"/>
        <v>15000</v>
      </c>
      <c r="Q73" s="117">
        <f t="shared" si="9"/>
        <v>886.5</v>
      </c>
      <c r="R73" s="118">
        <f>J78-Q73</f>
        <v>0</v>
      </c>
      <c r="S73" s="27"/>
      <c r="T73" s="27"/>
      <c r="U73" s="27"/>
      <c r="V73" s="27"/>
      <c r="W73" s="27"/>
      <c r="X73" s="27"/>
      <c r="Y73" s="29"/>
    </row>
    <row r="74" spans="1:25" s="30" customFormat="1" ht="18" x14ac:dyDescent="0.35">
      <c r="A74" s="30" t="s">
        <v>320</v>
      </c>
      <c r="C74" s="106">
        <f t="shared" si="11"/>
        <v>61</v>
      </c>
      <c r="D74" s="107" t="s">
        <v>60</v>
      </c>
      <c r="E74" s="107" t="s">
        <v>88</v>
      </c>
      <c r="F74" s="108" t="s">
        <v>163</v>
      </c>
      <c r="G74" s="109">
        <v>0.1182</v>
      </c>
      <c r="H74" s="110" t="s">
        <v>103</v>
      </c>
      <c r="I74" s="111">
        <v>29000</v>
      </c>
      <c r="J74" s="177">
        <f t="shared" si="17"/>
        <v>3427.8</v>
      </c>
      <c r="K74" s="113">
        <f t="shared" si="0"/>
        <v>61</v>
      </c>
      <c r="L74" s="108" t="str">
        <f>F79</f>
        <v>HIT SEMPROT</v>
      </c>
      <c r="M74" s="114" t="str">
        <f t="shared" si="5"/>
        <v>Plasma II</v>
      </c>
      <c r="N74" s="115">
        <f t="shared" si="6"/>
        <v>0.2364</v>
      </c>
      <c r="O74" s="116" t="str">
        <f>H79</f>
        <v>PCS</v>
      </c>
      <c r="P74" s="115">
        <f t="shared" si="8"/>
        <v>45000</v>
      </c>
      <c r="Q74" s="117">
        <f t="shared" si="9"/>
        <v>10638</v>
      </c>
      <c r="R74" s="118">
        <f t="shared" ref="R74" si="22">J79-Q74</f>
        <v>0</v>
      </c>
      <c r="S74" s="27"/>
      <c r="T74" s="27"/>
      <c r="U74" s="27"/>
      <c r="V74" s="27"/>
      <c r="W74" s="27"/>
      <c r="X74" s="27"/>
      <c r="Y74" s="29"/>
    </row>
    <row r="75" spans="1:25" s="30" customFormat="1" ht="18" x14ac:dyDescent="0.35">
      <c r="A75" s="30" t="s">
        <v>320</v>
      </c>
      <c r="C75" s="106">
        <f t="shared" si="11"/>
        <v>62</v>
      </c>
      <c r="D75" s="107" t="s">
        <v>60</v>
      </c>
      <c r="E75" s="107" t="s">
        <v>88</v>
      </c>
      <c r="F75" s="108" t="s">
        <v>110</v>
      </c>
      <c r="G75" s="109">
        <v>0.1182</v>
      </c>
      <c r="H75" s="110" t="s">
        <v>103</v>
      </c>
      <c r="I75" s="111">
        <v>37000</v>
      </c>
      <c r="J75" s="177">
        <f t="shared" si="17"/>
        <v>4373.3999999999996</v>
      </c>
      <c r="K75" s="113">
        <f t="shared" si="0"/>
        <v>62</v>
      </c>
      <c r="L75" s="108" t="str">
        <f>F81</f>
        <v>CLING</v>
      </c>
      <c r="M75" s="114" t="str">
        <f t="shared" si="5"/>
        <v>Plasma II</v>
      </c>
      <c r="N75" s="115">
        <f t="shared" si="6"/>
        <v>0.1182</v>
      </c>
      <c r="O75" s="116" t="str">
        <f t="shared" ref="O75:O86" si="23">H81</f>
        <v>PCS</v>
      </c>
      <c r="P75" s="115">
        <f t="shared" si="8"/>
        <v>10000</v>
      </c>
      <c r="Q75" s="117">
        <f t="shared" si="9"/>
        <v>1182</v>
      </c>
      <c r="R75" s="118">
        <f>J81-Q75</f>
        <v>0</v>
      </c>
      <c r="S75" s="27"/>
      <c r="T75" s="27"/>
      <c r="U75" s="27"/>
      <c r="V75" s="27"/>
      <c r="W75" s="27"/>
      <c r="X75" s="27"/>
      <c r="Y75" s="29"/>
    </row>
    <row r="76" spans="1:25" s="30" customFormat="1" ht="18" x14ac:dyDescent="0.35">
      <c r="A76" s="30" t="s">
        <v>320</v>
      </c>
      <c r="C76" s="106">
        <f t="shared" si="11"/>
        <v>63</v>
      </c>
      <c r="D76" s="107" t="s">
        <v>60</v>
      </c>
      <c r="E76" s="107" t="s">
        <v>88</v>
      </c>
      <c r="F76" s="108" t="s">
        <v>109</v>
      </c>
      <c r="G76" s="109">
        <v>5.91E-2</v>
      </c>
      <c r="H76" s="110" t="s">
        <v>103</v>
      </c>
      <c r="I76" s="111">
        <v>22000</v>
      </c>
      <c r="J76" s="177">
        <f t="shared" si="17"/>
        <v>1300.2</v>
      </c>
      <c r="K76" s="113">
        <f t="shared" si="0"/>
        <v>63</v>
      </c>
      <c r="L76" s="108" t="str">
        <f>F82</f>
        <v xml:space="preserve">Biaya Perawatan </v>
      </c>
      <c r="M76" s="114" t="str">
        <f t="shared" si="5"/>
        <v>Plasma II</v>
      </c>
      <c r="N76" s="115">
        <f t="shared" si="6"/>
        <v>0</v>
      </c>
      <c r="O76" s="116">
        <f t="shared" si="23"/>
        <v>0</v>
      </c>
      <c r="P76" s="115"/>
      <c r="Q76" s="117">
        <f t="shared" si="9"/>
        <v>26416202.49454651</v>
      </c>
      <c r="R76" s="118">
        <f t="shared" ref="R76:R86" si="24">J82-Q76</f>
        <v>0</v>
      </c>
      <c r="S76" s="27"/>
      <c r="T76" s="27"/>
      <c r="U76" s="27"/>
      <c r="V76" s="27"/>
      <c r="W76" s="27"/>
      <c r="X76" s="27"/>
      <c r="Y76" s="29"/>
    </row>
    <row r="77" spans="1:25" s="30" customFormat="1" ht="18" x14ac:dyDescent="0.35">
      <c r="A77" s="30" t="s">
        <v>320</v>
      </c>
      <c r="C77" s="106">
        <f t="shared" si="11"/>
        <v>64</v>
      </c>
      <c r="D77" s="107" t="s">
        <v>60</v>
      </c>
      <c r="E77" s="107" t="s">
        <v>88</v>
      </c>
      <c r="F77" s="108" t="s">
        <v>160</v>
      </c>
      <c r="G77" s="109">
        <v>0.2364</v>
      </c>
      <c r="H77" s="110" t="s">
        <v>103</v>
      </c>
      <c r="I77" s="111">
        <v>25000</v>
      </c>
      <c r="J77" s="177">
        <f t="shared" si="17"/>
        <v>5910</v>
      </c>
      <c r="K77" s="113">
        <f t="shared" si="0"/>
        <v>64</v>
      </c>
      <c r="L77" s="108" t="str">
        <f t="shared" ref="L77:L86" si="25">F83</f>
        <v>Biaya Produksi</v>
      </c>
      <c r="M77" s="114" t="str">
        <f t="shared" si="5"/>
        <v>Plasma II</v>
      </c>
      <c r="N77" s="115">
        <f t="shared" si="6"/>
        <v>0</v>
      </c>
      <c r="O77" s="116">
        <f t="shared" si="23"/>
        <v>0</v>
      </c>
      <c r="P77" s="115"/>
      <c r="Q77" s="117">
        <f t="shared" si="9"/>
        <v>40327477.385375001</v>
      </c>
      <c r="R77" s="118">
        <f t="shared" si="24"/>
        <v>0</v>
      </c>
      <c r="S77" s="27"/>
      <c r="T77" s="27"/>
      <c r="U77" s="27"/>
      <c r="V77" s="27"/>
      <c r="W77" s="27"/>
      <c r="X77" s="27"/>
      <c r="Y77" s="29"/>
    </row>
    <row r="78" spans="1:25" s="30" customFormat="1" ht="18" x14ac:dyDescent="0.35">
      <c r="A78" s="30" t="s">
        <v>320</v>
      </c>
      <c r="C78" s="106">
        <f t="shared" si="11"/>
        <v>65</v>
      </c>
      <c r="D78" s="107" t="s">
        <v>60</v>
      </c>
      <c r="E78" s="107" t="s">
        <v>88</v>
      </c>
      <c r="F78" s="108" t="s">
        <v>111</v>
      </c>
      <c r="G78" s="109">
        <v>5.91E-2</v>
      </c>
      <c r="H78" s="110" t="s">
        <v>103</v>
      </c>
      <c r="I78" s="111">
        <v>15000</v>
      </c>
      <c r="J78" s="177">
        <f t="shared" si="17"/>
        <v>886.5</v>
      </c>
      <c r="K78" s="113">
        <f t="shared" ref="K78:K86" si="26">C78</f>
        <v>65</v>
      </c>
      <c r="L78" s="108" t="str">
        <f t="shared" si="25"/>
        <v>Share Biaya Pemeliharaan Kendaraan</v>
      </c>
      <c r="M78" s="114" t="str">
        <f t="shared" si="5"/>
        <v>Plasma II</v>
      </c>
      <c r="N78" s="115">
        <f t="shared" si="6"/>
        <v>0</v>
      </c>
      <c r="O78" s="116">
        <f t="shared" si="23"/>
        <v>0</v>
      </c>
      <c r="P78" s="115"/>
      <c r="Q78" s="117">
        <f t="shared" si="9"/>
        <v>4409576.1077545211</v>
      </c>
      <c r="R78" s="118">
        <f t="shared" si="24"/>
        <v>0</v>
      </c>
      <c r="S78" s="27"/>
      <c r="T78" s="27"/>
      <c r="U78" s="27"/>
      <c r="V78" s="27"/>
      <c r="W78" s="27"/>
      <c r="X78" s="27"/>
      <c r="Y78" s="29"/>
    </row>
    <row r="79" spans="1:25" s="30" customFormat="1" ht="18" x14ac:dyDescent="0.35">
      <c r="A79" s="30" t="s">
        <v>320</v>
      </c>
      <c r="C79" s="106">
        <f t="shared" si="11"/>
        <v>66</v>
      </c>
      <c r="D79" s="107" t="s">
        <v>60</v>
      </c>
      <c r="E79" s="107" t="s">
        <v>88</v>
      </c>
      <c r="F79" s="108" t="s">
        <v>164</v>
      </c>
      <c r="G79" s="109">
        <v>0.2364</v>
      </c>
      <c r="H79" s="110" t="s">
        <v>103</v>
      </c>
      <c r="I79" s="111">
        <v>45000</v>
      </c>
      <c r="J79" s="177">
        <f t="shared" si="17"/>
        <v>10638</v>
      </c>
      <c r="K79" s="113">
        <f t="shared" si="26"/>
        <v>66</v>
      </c>
      <c r="L79" s="108" t="str">
        <f t="shared" si="25"/>
        <v>Share Biaya Mesin &amp; Instalasi</v>
      </c>
      <c r="M79" s="114" t="str">
        <f t="shared" ref="M79:M86" si="27">+D79</f>
        <v>Plasma II</v>
      </c>
      <c r="N79" s="115">
        <f t="shared" ref="N79:N86" si="28">SUMIFS($G$14:$G$166,$F$14:$F$166,L79,$D$14:$D$166,M79)</f>
        <v>0</v>
      </c>
      <c r="O79" s="116">
        <f t="shared" si="23"/>
        <v>0</v>
      </c>
      <c r="P79" s="115"/>
      <c r="Q79" s="117">
        <f t="shared" ref="Q79:Q86" si="29">SUMIFS($J$14:$J$166,$F$14:$F$166,L79,$D$14:$D$166,M79)</f>
        <v>8169843.6581712291</v>
      </c>
      <c r="R79" s="118">
        <f t="shared" si="24"/>
        <v>0</v>
      </c>
      <c r="S79" s="27"/>
      <c r="T79" s="27"/>
      <c r="U79" s="27"/>
      <c r="V79" s="27"/>
      <c r="W79" s="27"/>
      <c r="X79" s="27"/>
      <c r="Y79" s="29"/>
    </row>
    <row r="80" spans="1:25" s="30" customFormat="1" ht="18" x14ac:dyDescent="0.35">
      <c r="A80" s="30" t="s">
        <v>320</v>
      </c>
      <c r="C80" s="106">
        <f t="shared" ref="C80:C97" si="30">C79+1</f>
        <v>67</v>
      </c>
      <c r="D80" s="107" t="s">
        <v>60</v>
      </c>
      <c r="E80" s="107" t="s">
        <v>88</v>
      </c>
      <c r="F80" s="108" t="s">
        <v>163</v>
      </c>
      <c r="G80" s="109">
        <v>0.17730000000000001</v>
      </c>
      <c r="H80" s="110" t="s">
        <v>103</v>
      </c>
      <c r="I80" s="111">
        <v>29000</v>
      </c>
      <c r="J80" s="177">
        <f t="shared" si="17"/>
        <v>5141.7000000000007</v>
      </c>
      <c r="K80" s="113">
        <f t="shared" si="26"/>
        <v>67</v>
      </c>
      <c r="L80" s="108" t="str">
        <f t="shared" si="25"/>
        <v>Share Biaya Pemeliharaan Bangunan</v>
      </c>
      <c r="M80" s="114" t="str">
        <f t="shared" si="27"/>
        <v>Plasma II</v>
      </c>
      <c r="N80" s="115">
        <f t="shared" si="28"/>
        <v>0</v>
      </c>
      <c r="O80" s="116">
        <f t="shared" si="23"/>
        <v>0</v>
      </c>
      <c r="P80" s="115"/>
      <c r="Q80" s="117">
        <f t="shared" si="29"/>
        <v>2310150.3446137914</v>
      </c>
      <c r="R80" s="118">
        <f t="shared" si="24"/>
        <v>0</v>
      </c>
      <c r="S80" s="27"/>
      <c r="T80" s="27"/>
      <c r="U80" s="27"/>
      <c r="V80" s="27"/>
      <c r="W80" s="27"/>
      <c r="X80" s="27"/>
      <c r="Y80" s="29"/>
    </row>
    <row r="81" spans="1:25" s="30" customFormat="1" ht="18" x14ac:dyDescent="0.35">
      <c r="A81" s="30" t="s">
        <v>320</v>
      </c>
      <c r="C81" s="106">
        <f t="shared" si="30"/>
        <v>68</v>
      </c>
      <c r="D81" s="107" t="s">
        <v>60</v>
      </c>
      <c r="E81" s="107" t="s">
        <v>88</v>
      </c>
      <c r="F81" s="108" t="s">
        <v>165</v>
      </c>
      <c r="G81" s="109">
        <v>0.1182</v>
      </c>
      <c r="H81" s="110" t="s">
        <v>103</v>
      </c>
      <c r="I81" s="111">
        <v>10000</v>
      </c>
      <c r="J81" s="177">
        <f t="shared" si="17"/>
        <v>1182</v>
      </c>
      <c r="K81" s="113">
        <f t="shared" si="26"/>
        <v>68</v>
      </c>
      <c r="L81" s="108" t="str">
        <f t="shared" si="25"/>
        <v>Share Biaya Kantor Kebun &amp; Lembur</v>
      </c>
      <c r="M81" s="114" t="str">
        <f t="shared" si="27"/>
        <v>Plasma II</v>
      </c>
      <c r="N81" s="115">
        <f t="shared" si="28"/>
        <v>0</v>
      </c>
      <c r="O81" s="116">
        <f t="shared" si="23"/>
        <v>0</v>
      </c>
      <c r="P81" s="115"/>
      <c r="Q81" s="117">
        <f t="shared" si="29"/>
        <v>2338130.3933999995</v>
      </c>
      <c r="R81" s="118">
        <f t="shared" si="24"/>
        <v>0</v>
      </c>
      <c r="S81" s="27"/>
      <c r="T81" s="27"/>
      <c r="U81" s="27"/>
      <c r="V81" s="27"/>
      <c r="W81" s="27"/>
      <c r="X81" s="27"/>
      <c r="Y81" s="29"/>
    </row>
    <row r="82" spans="1:25" s="30" customFormat="1" ht="18" x14ac:dyDescent="0.35">
      <c r="A82" s="30" t="s">
        <v>318</v>
      </c>
      <c r="C82" s="106">
        <f t="shared" si="30"/>
        <v>69</v>
      </c>
      <c r="D82" s="107" t="s">
        <v>60</v>
      </c>
      <c r="E82" s="121" t="s">
        <v>64</v>
      </c>
      <c r="F82" s="108" t="s">
        <v>75</v>
      </c>
      <c r="G82" s="109"/>
      <c r="H82" s="110"/>
      <c r="I82" s="111"/>
      <c r="J82" s="177">
        <v>26416202.49454651</v>
      </c>
      <c r="K82" s="113">
        <f t="shared" si="26"/>
        <v>69</v>
      </c>
      <c r="L82" s="108" t="str">
        <f t="shared" si="25"/>
        <v>Biaya Umum Traksi</v>
      </c>
      <c r="M82" s="114" t="str">
        <f t="shared" si="27"/>
        <v>Plasma II</v>
      </c>
      <c r="N82" s="115">
        <f t="shared" si="28"/>
        <v>0</v>
      </c>
      <c r="O82" s="116">
        <f t="shared" si="23"/>
        <v>0</v>
      </c>
      <c r="P82" s="115"/>
      <c r="Q82" s="117">
        <f t="shared" si="29"/>
        <v>6480142</v>
      </c>
      <c r="R82" s="118">
        <f t="shared" si="24"/>
        <v>0</v>
      </c>
      <c r="S82" s="27"/>
      <c r="T82" s="27"/>
      <c r="U82" s="27"/>
      <c r="V82" s="27"/>
      <c r="W82" s="27"/>
      <c r="X82" s="27"/>
      <c r="Y82" s="29"/>
    </row>
    <row r="83" spans="1:25" s="30" customFormat="1" ht="18" x14ac:dyDescent="0.35">
      <c r="A83" s="30" t="s">
        <v>318</v>
      </c>
      <c r="C83" s="106">
        <f t="shared" si="30"/>
        <v>70</v>
      </c>
      <c r="D83" s="107" t="s">
        <v>60</v>
      </c>
      <c r="E83" s="121" t="s">
        <v>64</v>
      </c>
      <c r="F83" s="108" t="s">
        <v>23</v>
      </c>
      <c r="G83" s="109"/>
      <c r="H83" s="110"/>
      <c r="I83" s="111"/>
      <c r="J83" s="177">
        <v>40327477.385375001</v>
      </c>
      <c r="K83" s="113">
        <f t="shared" si="26"/>
        <v>70</v>
      </c>
      <c r="L83" s="108" t="str">
        <f t="shared" si="25"/>
        <v>Biaya Umum (Premi &amp; Lembur)</v>
      </c>
      <c r="M83" s="114" t="str">
        <f t="shared" si="27"/>
        <v>Plasma II</v>
      </c>
      <c r="N83" s="115">
        <f t="shared" si="28"/>
        <v>0</v>
      </c>
      <c r="O83" s="116">
        <f t="shared" si="23"/>
        <v>0</v>
      </c>
      <c r="P83" s="115"/>
      <c r="Q83" s="117">
        <f t="shared" si="29"/>
        <v>3254501.5410199999</v>
      </c>
      <c r="R83" s="118">
        <f t="shared" si="24"/>
        <v>0</v>
      </c>
      <c r="S83" s="27"/>
      <c r="T83" s="27"/>
      <c r="U83" s="27"/>
      <c r="V83" s="27"/>
      <c r="W83" s="27"/>
      <c r="X83" s="27"/>
      <c r="Y83" s="29"/>
    </row>
    <row r="84" spans="1:25" s="30" customFormat="1" ht="18" x14ac:dyDescent="0.35">
      <c r="A84" s="30" t="s">
        <v>320</v>
      </c>
      <c r="C84" s="106">
        <f t="shared" si="30"/>
        <v>71</v>
      </c>
      <c r="D84" s="107" t="s">
        <v>60</v>
      </c>
      <c r="E84" s="121" t="s">
        <v>89</v>
      </c>
      <c r="F84" s="108" t="s">
        <v>76</v>
      </c>
      <c r="G84" s="109"/>
      <c r="H84" s="110"/>
      <c r="I84" s="111"/>
      <c r="J84" s="177">
        <v>4409576.1077545211</v>
      </c>
      <c r="K84" s="113">
        <f t="shared" si="26"/>
        <v>71</v>
      </c>
      <c r="L84" s="108" t="str">
        <f t="shared" si="25"/>
        <v>Share Biaya Sosial</v>
      </c>
      <c r="M84" s="114" t="str">
        <f t="shared" si="27"/>
        <v>Plasma II</v>
      </c>
      <c r="N84" s="115">
        <f t="shared" si="28"/>
        <v>0</v>
      </c>
      <c r="O84" s="116">
        <f t="shared" si="23"/>
        <v>0</v>
      </c>
      <c r="P84" s="115"/>
      <c r="Q84" s="117">
        <f t="shared" si="29"/>
        <v>639662.46720000007</v>
      </c>
      <c r="R84" s="118">
        <f t="shared" si="24"/>
        <v>0</v>
      </c>
      <c r="S84" s="27"/>
      <c r="T84" s="27"/>
      <c r="U84" s="27"/>
      <c r="V84" s="27"/>
      <c r="W84" s="27"/>
      <c r="X84" s="27"/>
      <c r="Y84" s="29"/>
    </row>
    <row r="85" spans="1:25" s="30" customFormat="1" ht="18" x14ac:dyDescent="0.35">
      <c r="A85" s="30" t="s">
        <v>320</v>
      </c>
      <c r="C85" s="106">
        <f t="shared" si="30"/>
        <v>72</v>
      </c>
      <c r="D85" s="107" t="s">
        <v>60</v>
      </c>
      <c r="E85" s="121" t="s">
        <v>89</v>
      </c>
      <c r="F85" s="108" t="s">
        <v>77</v>
      </c>
      <c r="G85" s="109"/>
      <c r="H85" s="110"/>
      <c r="I85" s="111"/>
      <c r="J85" s="177">
        <v>8169843.6581712291</v>
      </c>
      <c r="K85" s="113">
        <f t="shared" si="26"/>
        <v>72</v>
      </c>
      <c r="L85" s="108" t="str">
        <f t="shared" si="25"/>
        <v>Share Biaya Gaji Karyawan</v>
      </c>
      <c r="M85" s="114" t="str">
        <f t="shared" si="27"/>
        <v>Plasma II</v>
      </c>
      <c r="N85" s="115">
        <f t="shared" si="28"/>
        <v>0</v>
      </c>
      <c r="O85" s="116">
        <f t="shared" si="23"/>
        <v>0</v>
      </c>
      <c r="P85" s="115"/>
      <c r="Q85" s="117">
        <f t="shared" si="29"/>
        <v>38070472.786983006</v>
      </c>
      <c r="R85" s="118">
        <f t="shared" si="24"/>
        <v>0</v>
      </c>
      <c r="S85" s="27"/>
      <c r="T85" s="27"/>
      <c r="U85" s="27"/>
      <c r="V85" s="27"/>
      <c r="W85" s="27"/>
      <c r="X85" s="27"/>
      <c r="Y85" s="29"/>
    </row>
    <row r="86" spans="1:25" s="30" customFormat="1" ht="18" x14ac:dyDescent="0.35">
      <c r="A86" s="30" t="s">
        <v>320</v>
      </c>
      <c r="C86" s="106">
        <f t="shared" si="30"/>
        <v>73</v>
      </c>
      <c r="D86" s="107" t="s">
        <v>60</v>
      </c>
      <c r="E86" s="121" t="s">
        <v>89</v>
      </c>
      <c r="F86" s="108" t="s">
        <v>78</v>
      </c>
      <c r="G86" s="109"/>
      <c r="H86" s="110"/>
      <c r="I86" s="111"/>
      <c r="J86" s="177">
        <v>2310150.3446137914</v>
      </c>
      <c r="K86" s="113">
        <f t="shared" si="26"/>
        <v>73</v>
      </c>
      <c r="L86" s="108" t="str">
        <f t="shared" si="25"/>
        <v>Angkutan TBS</v>
      </c>
      <c r="M86" s="114" t="str">
        <f t="shared" si="27"/>
        <v>Plasma II</v>
      </c>
      <c r="N86" s="115">
        <f t="shared" si="28"/>
        <v>278390</v>
      </c>
      <c r="O86" s="116" t="str">
        <f t="shared" si="23"/>
        <v>Kg</v>
      </c>
      <c r="P86" s="115">
        <f t="shared" ref="P86" si="31">Q86/N86</f>
        <v>98.398717410826549</v>
      </c>
      <c r="Q86" s="117">
        <f t="shared" si="29"/>
        <v>27393218.940000001</v>
      </c>
      <c r="R86" s="118">
        <f t="shared" si="24"/>
        <v>0</v>
      </c>
      <c r="S86" s="27"/>
      <c r="T86" s="27"/>
      <c r="U86" s="27"/>
      <c r="V86" s="27"/>
      <c r="W86" s="27"/>
      <c r="X86" s="27"/>
      <c r="Y86" s="29"/>
    </row>
    <row r="87" spans="1:25" s="30" customFormat="1" ht="18" x14ac:dyDescent="0.35">
      <c r="A87" s="30" t="s">
        <v>320</v>
      </c>
      <c r="C87" s="106">
        <f t="shared" si="30"/>
        <v>74</v>
      </c>
      <c r="D87" s="107" t="s">
        <v>60</v>
      </c>
      <c r="E87" s="121" t="s">
        <v>89</v>
      </c>
      <c r="F87" s="108" t="s">
        <v>79</v>
      </c>
      <c r="G87" s="109"/>
      <c r="H87" s="110"/>
      <c r="I87" s="111"/>
      <c r="J87" s="177">
        <v>2338130.3933999995</v>
      </c>
      <c r="K87" s="113"/>
      <c r="L87" s="108"/>
      <c r="M87" s="114"/>
      <c r="N87" s="115"/>
      <c r="O87" s="116"/>
      <c r="P87" s="115"/>
      <c r="Q87" s="117"/>
      <c r="R87" s="118"/>
      <c r="S87" s="27"/>
      <c r="T87" s="27"/>
      <c r="U87" s="27"/>
      <c r="V87" s="27"/>
      <c r="W87" s="27"/>
      <c r="X87" s="27"/>
      <c r="Y87" s="29"/>
    </row>
    <row r="88" spans="1:25" s="30" customFormat="1" ht="18" x14ac:dyDescent="0.35">
      <c r="A88" s="30" t="s">
        <v>320</v>
      </c>
      <c r="C88" s="106">
        <f t="shared" si="30"/>
        <v>75</v>
      </c>
      <c r="D88" s="107" t="s">
        <v>60</v>
      </c>
      <c r="E88" s="121" t="s">
        <v>89</v>
      </c>
      <c r="F88" s="108" t="s">
        <v>80</v>
      </c>
      <c r="G88" s="109"/>
      <c r="H88" s="110"/>
      <c r="I88" s="111"/>
      <c r="J88" s="177">
        <v>6480142</v>
      </c>
      <c r="K88" s="113"/>
      <c r="L88" s="108"/>
      <c r="M88" s="114"/>
      <c r="N88" s="115"/>
      <c r="O88" s="116"/>
      <c r="P88" s="115"/>
      <c r="Q88" s="117"/>
      <c r="R88" s="118"/>
      <c r="S88" s="27"/>
      <c r="T88" s="27"/>
      <c r="U88" s="27"/>
      <c r="V88" s="27"/>
      <c r="W88" s="27"/>
      <c r="X88" s="27"/>
      <c r="Y88" s="29"/>
    </row>
    <row r="89" spans="1:25" s="30" customFormat="1" ht="18" x14ac:dyDescent="0.35">
      <c r="A89" s="30" t="s">
        <v>318</v>
      </c>
      <c r="C89" s="106">
        <f t="shared" si="30"/>
        <v>76</v>
      </c>
      <c r="D89" s="107" t="s">
        <v>60</v>
      </c>
      <c r="E89" s="121" t="s">
        <v>89</v>
      </c>
      <c r="F89" s="108" t="s">
        <v>30</v>
      </c>
      <c r="G89" s="109"/>
      <c r="H89" s="110"/>
      <c r="I89" s="111"/>
      <c r="J89" s="177">
        <v>3254501.5410199999</v>
      </c>
      <c r="K89" s="113"/>
      <c r="L89" s="108"/>
      <c r="M89" s="114"/>
      <c r="N89" s="115"/>
      <c r="O89" s="116"/>
      <c r="P89" s="115"/>
      <c r="Q89" s="117"/>
      <c r="R89" s="118"/>
      <c r="S89" s="27"/>
      <c r="T89" s="27"/>
      <c r="U89" s="27"/>
      <c r="V89" s="27"/>
      <c r="W89" s="27"/>
      <c r="X89" s="27"/>
      <c r="Y89" s="29"/>
    </row>
    <row r="90" spans="1:25" s="30" customFormat="1" ht="18" x14ac:dyDescent="0.35">
      <c r="A90" s="30" t="s">
        <v>324</v>
      </c>
      <c r="C90" s="106">
        <f t="shared" si="30"/>
        <v>77</v>
      </c>
      <c r="D90" s="107" t="s">
        <v>60</v>
      </c>
      <c r="E90" s="121" t="s">
        <v>89</v>
      </c>
      <c r="F90" s="108" t="s">
        <v>81</v>
      </c>
      <c r="G90" s="109"/>
      <c r="H90" s="110"/>
      <c r="I90" s="111"/>
      <c r="J90" s="177">
        <v>639662.46720000007</v>
      </c>
      <c r="K90" s="113"/>
      <c r="L90" s="108"/>
      <c r="M90" s="114"/>
      <c r="N90" s="115"/>
      <c r="O90" s="116"/>
      <c r="P90" s="115"/>
      <c r="Q90" s="117"/>
      <c r="R90" s="118"/>
      <c r="S90" s="27"/>
      <c r="T90" s="27"/>
      <c r="U90" s="27"/>
      <c r="V90" s="27"/>
      <c r="W90" s="27"/>
      <c r="X90" s="27"/>
      <c r="Y90" s="29"/>
    </row>
    <row r="91" spans="1:25" s="30" customFormat="1" ht="19.5" customHeight="1" x14ac:dyDescent="0.35">
      <c r="A91" s="30" t="s">
        <v>318</v>
      </c>
      <c r="C91" s="106">
        <f t="shared" si="30"/>
        <v>78</v>
      </c>
      <c r="D91" s="107" t="s">
        <v>60</v>
      </c>
      <c r="E91" s="121" t="s">
        <v>89</v>
      </c>
      <c r="F91" s="108" t="s">
        <v>82</v>
      </c>
      <c r="G91" s="109"/>
      <c r="H91" s="110"/>
      <c r="I91" s="111"/>
      <c r="J91" s="177">
        <v>38070472.786983006</v>
      </c>
      <c r="K91" s="113"/>
      <c r="L91" s="108"/>
      <c r="M91" s="114"/>
      <c r="N91" s="115"/>
      <c r="O91" s="116"/>
      <c r="P91" s="115"/>
      <c r="Q91" s="117"/>
      <c r="R91" s="118"/>
      <c r="S91" s="27"/>
      <c r="T91" s="27"/>
      <c r="U91" s="27"/>
      <c r="V91" s="27"/>
      <c r="W91" s="27"/>
      <c r="X91" s="27"/>
      <c r="Y91" s="29"/>
    </row>
    <row r="92" spans="1:25" s="30" customFormat="1" ht="18" x14ac:dyDescent="0.35">
      <c r="A92" s="30" t="s">
        <v>322</v>
      </c>
      <c r="C92" s="106">
        <f t="shared" si="30"/>
        <v>79</v>
      </c>
      <c r="D92" s="107" t="s">
        <v>60</v>
      </c>
      <c r="E92" s="121" t="s">
        <v>49</v>
      </c>
      <c r="F92" s="108" t="s">
        <v>28</v>
      </c>
      <c r="G92" s="165">
        <v>278390</v>
      </c>
      <c r="H92" s="110" t="s">
        <v>24</v>
      </c>
      <c r="I92" s="111">
        <f t="shared" ref="I92:I93" si="32">+J92/G92</f>
        <v>98.398717410826549</v>
      </c>
      <c r="J92" s="177">
        <v>27393218.940000001</v>
      </c>
      <c r="K92" s="113"/>
      <c r="L92" s="108"/>
      <c r="M92" s="114"/>
      <c r="N92" s="115"/>
      <c r="O92" s="116"/>
      <c r="P92" s="115"/>
      <c r="Q92" s="117"/>
      <c r="R92" s="118"/>
      <c r="S92" s="27"/>
      <c r="T92" s="27"/>
      <c r="U92" s="27"/>
      <c r="V92" s="27"/>
      <c r="W92" s="27"/>
      <c r="X92" s="27"/>
      <c r="Y92" s="29"/>
    </row>
    <row r="93" spans="1:25" s="30" customFormat="1" ht="18" x14ac:dyDescent="0.35">
      <c r="A93" s="30" t="s">
        <v>320</v>
      </c>
      <c r="C93" s="106">
        <f t="shared" si="30"/>
        <v>80</v>
      </c>
      <c r="D93" s="107" t="s">
        <v>60</v>
      </c>
      <c r="E93" s="121" t="s">
        <v>97</v>
      </c>
      <c r="F93" s="122" t="s">
        <v>98</v>
      </c>
      <c r="G93" s="157">
        <v>25000</v>
      </c>
      <c r="H93" s="110" t="s">
        <v>24</v>
      </c>
      <c r="I93" s="158">
        <f t="shared" si="32"/>
        <v>27.5701861802347</v>
      </c>
      <c r="J93" s="171">
        <v>689254.65450586751</v>
      </c>
      <c r="K93" s="113"/>
      <c r="L93" s="108"/>
      <c r="M93" s="114"/>
      <c r="N93" s="115"/>
      <c r="O93" s="116"/>
      <c r="P93" s="115"/>
      <c r="Q93" s="117"/>
      <c r="R93" s="28"/>
      <c r="S93" s="27"/>
      <c r="T93" s="27"/>
      <c r="U93" s="27"/>
      <c r="V93" s="27"/>
      <c r="W93" s="27"/>
      <c r="X93" s="27"/>
      <c r="Y93" s="29"/>
    </row>
    <row r="94" spans="1:25" s="30" customFormat="1" ht="18" x14ac:dyDescent="0.35">
      <c r="A94" s="30" t="s">
        <v>320</v>
      </c>
      <c r="C94" s="106">
        <f t="shared" si="30"/>
        <v>81</v>
      </c>
      <c r="D94" s="107" t="s">
        <v>60</v>
      </c>
      <c r="E94" s="121" t="s">
        <v>97</v>
      </c>
      <c r="F94" s="122" t="s">
        <v>169</v>
      </c>
      <c r="G94" s="157">
        <v>4250</v>
      </c>
      <c r="H94" s="110" t="s">
        <v>24</v>
      </c>
      <c r="I94" s="163">
        <f t="shared" ref="I94:I97" si="33">+J94/G94</f>
        <v>32.538870488990476</v>
      </c>
      <c r="J94" s="171">
        <v>138290.19957820952</v>
      </c>
      <c r="K94" s="113"/>
      <c r="L94" s="108"/>
      <c r="M94" s="114"/>
      <c r="N94" s="115"/>
      <c r="O94" s="116"/>
      <c r="P94" s="115"/>
      <c r="Q94" s="117"/>
      <c r="R94" s="28"/>
      <c r="S94" s="27"/>
      <c r="T94" s="27"/>
      <c r="U94" s="27"/>
      <c r="V94" s="27"/>
      <c r="W94" s="27"/>
      <c r="X94" s="27"/>
      <c r="Y94" s="29"/>
    </row>
    <row r="95" spans="1:25" s="30" customFormat="1" ht="18" x14ac:dyDescent="0.35">
      <c r="A95" s="30" t="s">
        <v>320</v>
      </c>
      <c r="C95" s="106">
        <f t="shared" si="30"/>
        <v>82</v>
      </c>
      <c r="D95" s="107" t="s">
        <v>60</v>
      </c>
      <c r="E95" s="121" t="s">
        <v>97</v>
      </c>
      <c r="F95" s="122" t="s">
        <v>86</v>
      </c>
      <c r="G95" s="157">
        <v>202000</v>
      </c>
      <c r="H95" s="110" t="s">
        <v>24</v>
      </c>
      <c r="I95" s="163">
        <f t="shared" si="33"/>
        <v>25.725935818710006</v>
      </c>
      <c r="J95" s="171">
        <v>5196639.035379421</v>
      </c>
      <c r="K95" s="113"/>
      <c r="L95" s="108"/>
      <c r="M95" s="114"/>
      <c r="N95" s="115"/>
      <c r="O95" s="116"/>
      <c r="P95" s="115"/>
      <c r="Q95" s="117"/>
      <c r="R95" s="28"/>
      <c r="S95" s="27"/>
      <c r="T95" s="27"/>
      <c r="U95" s="27"/>
      <c r="V95" s="27"/>
      <c r="W95" s="27"/>
      <c r="X95" s="27"/>
      <c r="Y95" s="29"/>
    </row>
    <row r="96" spans="1:25" s="30" customFormat="1" ht="18" x14ac:dyDescent="0.35">
      <c r="A96" s="30" t="s">
        <v>320</v>
      </c>
      <c r="C96" s="106">
        <f t="shared" si="30"/>
        <v>83</v>
      </c>
      <c r="D96" s="107" t="s">
        <v>60</v>
      </c>
      <c r="E96" s="121" t="s">
        <v>97</v>
      </c>
      <c r="F96" s="122" t="s">
        <v>94</v>
      </c>
      <c r="G96" s="157">
        <v>30000</v>
      </c>
      <c r="H96" s="110" t="s">
        <v>24</v>
      </c>
      <c r="I96" s="163">
        <f t="shared" si="33"/>
        <v>26.376091083219332</v>
      </c>
      <c r="J96" s="171">
        <v>791282.73249657999</v>
      </c>
      <c r="K96" s="113"/>
      <c r="L96" s="108"/>
      <c r="M96" s="114"/>
      <c r="N96" s="115"/>
      <c r="O96" s="116"/>
      <c r="P96" s="115"/>
      <c r="Q96" s="117"/>
      <c r="R96" s="28"/>
      <c r="S96" s="27"/>
      <c r="T96" s="27"/>
      <c r="U96" s="27"/>
      <c r="V96" s="27"/>
      <c r="W96" s="27"/>
      <c r="X96" s="27"/>
      <c r="Y96" s="29"/>
    </row>
    <row r="97" spans="1:25" s="30" customFormat="1" ht="18" x14ac:dyDescent="0.35">
      <c r="A97" s="30" t="s">
        <v>320</v>
      </c>
      <c r="C97" s="106">
        <f t="shared" si="30"/>
        <v>84</v>
      </c>
      <c r="D97" s="107" t="s">
        <v>60</v>
      </c>
      <c r="E97" s="121" t="s">
        <v>97</v>
      </c>
      <c r="F97" s="122" t="s">
        <v>116</v>
      </c>
      <c r="G97" s="157">
        <v>12000</v>
      </c>
      <c r="H97" s="110" t="s">
        <v>24</v>
      </c>
      <c r="I97" s="163">
        <f t="shared" si="33"/>
        <v>32.538870488990476</v>
      </c>
      <c r="J97" s="171">
        <v>390466.44586788572</v>
      </c>
      <c r="K97" s="113"/>
      <c r="L97" s="108"/>
      <c r="M97" s="114"/>
      <c r="N97" s="115"/>
      <c r="O97" s="116"/>
      <c r="P97" s="115"/>
      <c r="Q97" s="117"/>
      <c r="R97" s="28"/>
      <c r="S97" s="27"/>
      <c r="T97" s="27"/>
      <c r="U97" s="27"/>
      <c r="V97" s="27"/>
      <c r="W97" s="27"/>
      <c r="X97" s="27"/>
      <c r="Y97" s="29"/>
    </row>
    <row r="98" spans="1:25" s="30" customFormat="1" ht="18" x14ac:dyDescent="0.35">
      <c r="C98" s="106"/>
      <c r="D98" s="107"/>
      <c r="E98" s="121"/>
      <c r="F98" s="108"/>
      <c r="G98" s="157"/>
      <c r="H98" s="110"/>
      <c r="I98" s="171"/>
      <c r="J98" s="171"/>
      <c r="K98" s="169"/>
      <c r="L98" s="108"/>
      <c r="M98" s="114"/>
      <c r="N98" s="115"/>
      <c r="O98" s="116"/>
      <c r="P98" s="115"/>
      <c r="Q98" s="168"/>
      <c r="R98" s="28"/>
      <c r="S98" s="27"/>
      <c r="T98" s="27"/>
      <c r="U98" s="27"/>
      <c r="V98" s="27"/>
      <c r="W98" s="27"/>
      <c r="X98" s="27"/>
      <c r="Y98" s="29"/>
    </row>
    <row r="99" spans="1:25" s="30" customFormat="1" ht="18" x14ac:dyDescent="0.35">
      <c r="C99" s="106"/>
      <c r="D99" s="107"/>
      <c r="E99" s="121"/>
      <c r="F99" s="170"/>
      <c r="G99" s="109"/>
      <c r="H99" s="110"/>
      <c r="I99" s="163"/>
      <c r="J99" s="171"/>
      <c r="K99" s="46"/>
      <c r="L99" s="47"/>
      <c r="M99" s="48"/>
      <c r="N99" s="159">
        <f>SUM(N14:N92)</f>
        <v>280317.83561479999</v>
      </c>
      <c r="O99" s="160"/>
      <c r="P99" s="159"/>
      <c r="Q99" s="159">
        <f>SUM(Q14:Q92)</f>
        <v>162313257.3015863</v>
      </c>
      <c r="R99" s="28"/>
      <c r="S99" s="27"/>
      <c r="T99" s="27"/>
      <c r="U99" s="27"/>
      <c r="V99" s="27"/>
      <c r="W99" s="27"/>
      <c r="X99" s="27"/>
      <c r="Y99" s="29"/>
    </row>
    <row r="100" spans="1:25" s="30" customFormat="1" ht="18" x14ac:dyDescent="0.35">
      <c r="C100" s="106"/>
      <c r="D100" s="107"/>
      <c r="E100" s="121"/>
      <c r="F100" s="170"/>
      <c r="G100" s="109"/>
      <c r="H100" s="110"/>
      <c r="I100" s="171"/>
      <c r="J100" s="171"/>
      <c r="K100" s="94"/>
      <c r="L100" s="93"/>
      <c r="M100" s="93"/>
      <c r="N100" s="95"/>
      <c r="O100" s="96"/>
      <c r="P100" s="95"/>
      <c r="Q100" s="97"/>
      <c r="R100" s="28"/>
      <c r="S100" s="27"/>
      <c r="T100" s="27"/>
      <c r="U100" s="27"/>
      <c r="V100" s="27"/>
      <c r="W100" s="27"/>
      <c r="X100" s="27"/>
      <c r="Y100" s="29"/>
    </row>
    <row r="101" spans="1:25" s="30" customFormat="1" ht="18" x14ac:dyDescent="0.35">
      <c r="C101" s="106"/>
      <c r="D101" s="107"/>
      <c r="E101" s="121"/>
      <c r="F101" s="170"/>
      <c r="G101" s="109"/>
      <c r="H101" s="110"/>
      <c r="I101" s="171"/>
      <c r="J101" s="171"/>
      <c r="K101" s="46" t="s">
        <v>15</v>
      </c>
      <c r="L101" s="47"/>
      <c r="M101" s="75"/>
      <c r="N101" s="75"/>
      <c r="O101" s="75"/>
      <c r="P101" s="75"/>
      <c r="Q101" s="76"/>
      <c r="R101" s="28"/>
      <c r="S101" s="27"/>
      <c r="T101" s="27"/>
      <c r="U101" s="27"/>
      <c r="V101" s="27"/>
      <c r="W101" s="27"/>
      <c r="X101" s="27"/>
      <c r="Y101" s="29"/>
    </row>
    <row r="102" spans="1:25" s="30" customFormat="1" ht="18" x14ac:dyDescent="0.35">
      <c r="C102" s="106"/>
      <c r="D102" s="107"/>
      <c r="E102" s="121"/>
      <c r="F102" s="170"/>
      <c r="G102" s="109"/>
      <c r="H102" s="110"/>
      <c r="I102" s="171"/>
      <c r="J102" s="171"/>
      <c r="K102" s="113">
        <v>1</v>
      </c>
      <c r="L102" s="122" t="str">
        <f>F93</f>
        <v>T.Loading Batu</v>
      </c>
      <c r="M102" s="161" t="s">
        <v>60</v>
      </c>
      <c r="N102" s="115">
        <f>SUMIFS($G$14:$G$99,$F$14:$F$99,L102,$D$14:$D$99,M102)</f>
        <v>25000</v>
      </c>
      <c r="O102" s="110" t="str">
        <f>+VLOOKUP(L102,$F$14:$H$112,3,0)</f>
        <v>Kg</v>
      </c>
      <c r="P102" s="115">
        <f t="shared" ref="P102" si="34">Q102/N102</f>
        <v>27.5701861802347</v>
      </c>
      <c r="Q102" s="117">
        <f>SUMIFS($J$14:$J$99,$F$14:$F$99,L102,$D$14:$D$99,M102)</f>
        <v>689254.65450586751</v>
      </c>
      <c r="R102" s="28"/>
      <c r="S102" s="27"/>
      <c r="T102" s="27"/>
      <c r="U102" s="27"/>
      <c r="V102" s="27"/>
      <c r="W102" s="27"/>
      <c r="X102" s="27"/>
      <c r="Y102" s="29"/>
    </row>
    <row r="103" spans="1:25" s="30" customFormat="1" ht="18" x14ac:dyDescent="0.35">
      <c r="C103" s="106"/>
      <c r="D103" s="107"/>
      <c r="E103" s="121"/>
      <c r="F103" s="170"/>
      <c r="G103" s="109"/>
      <c r="H103" s="110"/>
      <c r="I103" s="171"/>
      <c r="J103" s="171"/>
      <c r="K103" s="113">
        <v>2</v>
      </c>
      <c r="L103" s="122" t="str">
        <f>F94</f>
        <v>T.Menarik unit</v>
      </c>
      <c r="M103" s="161" t="s">
        <v>60</v>
      </c>
      <c r="N103" s="115">
        <f>SUMIFS($G$14:$G$99,$F$14:$F$99,L103,$D$14:$D$99,M103)</f>
        <v>4250</v>
      </c>
      <c r="O103" s="110" t="str">
        <f>+VLOOKUP(L103,$F$14:$H$112,3,0)</f>
        <v>Kg</v>
      </c>
      <c r="P103" s="115">
        <f t="shared" ref="P103:P106" si="35">Q103/N103</f>
        <v>32.538870488990476</v>
      </c>
      <c r="Q103" s="117">
        <f>SUMIFS($J$14:$J$99,$F$14:$F$99,L103,$D$14:$D$99,M103)</f>
        <v>138290.19957820952</v>
      </c>
      <c r="R103" s="28"/>
      <c r="S103" s="27"/>
      <c r="T103" s="27"/>
      <c r="U103" s="27"/>
      <c r="V103" s="27"/>
      <c r="W103" s="27"/>
      <c r="X103" s="27"/>
      <c r="Y103" s="29"/>
    </row>
    <row r="104" spans="1:25" s="30" customFormat="1" ht="18" x14ac:dyDescent="0.35">
      <c r="C104" s="106"/>
      <c r="D104" s="107"/>
      <c r="E104" s="121"/>
      <c r="F104" s="170"/>
      <c r="G104" s="109"/>
      <c r="H104" s="110"/>
      <c r="I104" s="171"/>
      <c r="J104" s="171"/>
      <c r="K104" s="113">
        <v>3</v>
      </c>
      <c r="L104" s="122" t="str">
        <f>F95</f>
        <v>T.Langsir TBS</v>
      </c>
      <c r="M104" s="161" t="s">
        <v>60</v>
      </c>
      <c r="N104" s="115">
        <f>SUMIFS($G$14:$G$99,$F$14:$F$99,L104,$D$14:$D$99,M104)</f>
        <v>202000</v>
      </c>
      <c r="O104" s="110" t="str">
        <f>+VLOOKUP(L104,$F$14:$H$112,3,0)</f>
        <v>Kg</v>
      </c>
      <c r="P104" s="115">
        <f t="shared" si="35"/>
        <v>25.725935818710006</v>
      </c>
      <c r="Q104" s="117">
        <f>SUMIFS($J$14:$J$99,$F$14:$F$99,L104,$D$14:$D$99,M104)</f>
        <v>5196639.035379421</v>
      </c>
      <c r="R104" s="28"/>
      <c r="S104" s="27"/>
      <c r="T104" s="27"/>
      <c r="U104" s="27"/>
      <c r="V104" s="27"/>
      <c r="W104" s="27"/>
      <c r="X104" s="27"/>
      <c r="Y104" s="29"/>
    </row>
    <row r="105" spans="1:25" s="30" customFormat="1" ht="18" x14ac:dyDescent="0.35">
      <c r="C105" s="106"/>
      <c r="D105" s="107"/>
      <c r="E105" s="121"/>
      <c r="F105" s="170"/>
      <c r="G105" s="109"/>
      <c r="H105" s="110"/>
      <c r="I105" s="171"/>
      <c r="J105" s="171"/>
      <c r="K105" s="113">
        <v>4</v>
      </c>
      <c r="L105" s="122" t="str">
        <f>F96</f>
        <v>T.Loading Tanah</v>
      </c>
      <c r="M105" s="161" t="s">
        <v>60</v>
      </c>
      <c r="N105" s="115">
        <f>SUMIFS($G$14:$G$99,$F$14:$F$99,L105,$D$14:$D$99,M105)</f>
        <v>30000</v>
      </c>
      <c r="O105" s="110" t="str">
        <f>+VLOOKUP(L105,$F$14:$H$112,3,0)</f>
        <v>Kg</v>
      </c>
      <c r="P105" s="115">
        <f t="shared" si="35"/>
        <v>26.376091083219332</v>
      </c>
      <c r="Q105" s="117">
        <f>SUMIFS($J$14:$J$99,$F$14:$F$99,L105,$D$14:$D$99,M105)</f>
        <v>791282.73249657999</v>
      </c>
      <c r="R105" s="28"/>
      <c r="S105" s="27"/>
      <c r="T105" s="27"/>
      <c r="U105" s="27"/>
      <c r="V105" s="27"/>
      <c r="W105" s="27"/>
      <c r="X105" s="27"/>
      <c r="Y105" s="29"/>
    </row>
    <row r="106" spans="1:25" s="30" customFormat="1" ht="18" x14ac:dyDescent="0.35">
      <c r="C106" s="106"/>
      <c r="D106" s="107"/>
      <c r="E106" s="121"/>
      <c r="F106" s="170"/>
      <c r="G106" s="109"/>
      <c r="H106" s="110"/>
      <c r="I106" s="171"/>
      <c r="J106" s="171"/>
      <c r="K106" s="113">
        <v>5</v>
      </c>
      <c r="L106" s="122" t="str">
        <f>F97</f>
        <v>T.Langsir Brondolan</v>
      </c>
      <c r="M106" s="161" t="s">
        <v>60</v>
      </c>
      <c r="N106" s="115">
        <f>SUMIFS($G$14:$G$99,$F$14:$F$99,L106,$D$14:$D$99,M106)</f>
        <v>12000</v>
      </c>
      <c r="O106" s="110" t="str">
        <f>+VLOOKUP(L106,$F$14:$H$112,3,0)</f>
        <v>Kg</v>
      </c>
      <c r="P106" s="115">
        <f t="shared" si="35"/>
        <v>32.538870488990476</v>
      </c>
      <c r="Q106" s="117">
        <f>SUMIFS($J$14:$J$99,$F$14:$F$99,L106,$D$14:$D$99,M106)</f>
        <v>390466.44586788572</v>
      </c>
      <c r="R106" s="28"/>
      <c r="S106" s="27"/>
      <c r="T106" s="27"/>
      <c r="U106" s="27"/>
      <c r="V106" s="27"/>
      <c r="W106" s="27"/>
      <c r="X106" s="27"/>
      <c r="Y106" s="29"/>
    </row>
    <row r="107" spans="1:25" s="30" customFormat="1" ht="18" x14ac:dyDescent="0.35">
      <c r="C107" s="106"/>
      <c r="D107" s="107"/>
      <c r="E107" s="13"/>
      <c r="F107" s="3"/>
      <c r="G107" s="14"/>
      <c r="H107" s="63"/>
      <c r="I107" s="166"/>
      <c r="J107" s="70"/>
      <c r="K107" s="169"/>
      <c r="L107" s="122"/>
      <c r="M107" s="161"/>
      <c r="N107" s="115"/>
      <c r="O107" s="110"/>
      <c r="P107" s="115"/>
      <c r="Q107" s="168"/>
      <c r="R107" s="28"/>
      <c r="S107" s="27"/>
      <c r="T107" s="27"/>
      <c r="U107" s="27"/>
      <c r="V107" s="27"/>
      <c r="W107" s="27"/>
      <c r="X107" s="27"/>
      <c r="Y107" s="29"/>
    </row>
    <row r="108" spans="1:25" ht="18" x14ac:dyDescent="0.3">
      <c r="C108" s="42"/>
      <c r="D108" s="35"/>
      <c r="E108" s="13"/>
      <c r="F108" s="3"/>
      <c r="G108" s="14"/>
      <c r="H108" s="43"/>
      <c r="I108" s="70"/>
      <c r="J108" s="70"/>
      <c r="K108" s="123" t="s">
        <v>16</v>
      </c>
      <c r="L108" s="124"/>
      <c r="M108" s="125"/>
      <c r="N108" s="126">
        <f>SUM(N102:N106)</f>
        <v>273250</v>
      </c>
      <c r="O108" s="127"/>
      <c r="P108" s="128"/>
      <c r="Q108" s="126">
        <f>SUM(Q102:Q106)</f>
        <v>7205933.0678279642</v>
      </c>
    </row>
    <row r="109" spans="1:25" x14ac:dyDescent="0.3">
      <c r="C109" s="42"/>
      <c r="D109" s="35"/>
      <c r="E109" s="13"/>
      <c r="F109" s="3"/>
      <c r="G109" s="14"/>
      <c r="H109" s="43"/>
      <c r="I109" s="70"/>
      <c r="J109" s="70"/>
      <c r="K109" s="42"/>
      <c r="L109" s="49"/>
      <c r="M109" s="50"/>
      <c r="N109" s="50"/>
      <c r="O109" s="50"/>
      <c r="P109" s="50"/>
      <c r="Q109" s="72"/>
      <c r="R109" s="38"/>
      <c r="S109" s="66"/>
      <c r="T109" s="22"/>
      <c r="U109" s="22"/>
      <c r="V109" s="22"/>
      <c r="W109" s="22"/>
      <c r="X109" s="22"/>
      <c r="Y109" s="22"/>
    </row>
    <row r="110" spans="1:25" ht="18.600000000000001" thickBot="1" x14ac:dyDescent="0.4">
      <c r="C110" s="42"/>
      <c r="D110" s="35"/>
      <c r="E110" s="13"/>
      <c r="F110" s="3"/>
      <c r="G110" s="14"/>
      <c r="H110" s="43"/>
      <c r="I110" s="70"/>
      <c r="J110" s="70"/>
      <c r="K110" s="106">
        <v>1</v>
      </c>
      <c r="L110" s="129" t="s">
        <v>60</v>
      </c>
      <c r="M110" s="130" t="s">
        <v>17</v>
      </c>
      <c r="N110" s="131">
        <f>SUMIF($M$14:$M$106,L110,$Q$14:$Q$106)</f>
        <v>169519190.36941427</v>
      </c>
      <c r="O110" s="45"/>
      <c r="P110" s="37"/>
      <c r="Q110" s="60"/>
      <c r="R110" s="38"/>
      <c r="S110" s="66"/>
      <c r="T110" s="22"/>
      <c r="U110" s="22"/>
      <c r="V110" s="22"/>
      <c r="W110" s="22"/>
      <c r="X110" s="22"/>
      <c r="Y110" s="22"/>
    </row>
    <row r="111" spans="1:25" ht="18" x14ac:dyDescent="0.35">
      <c r="C111" s="42"/>
      <c r="D111" s="35"/>
      <c r="E111" s="13"/>
      <c r="F111" s="3"/>
      <c r="G111" s="14"/>
      <c r="H111" s="63"/>
      <c r="I111" s="16"/>
      <c r="J111" s="16"/>
      <c r="K111" s="132"/>
      <c r="L111" s="133" t="s">
        <v>61</v>
      </c>
      <c r="M111" s="134" t="s">
        <v>17</v>
      </c>
      <c r="N111" s="135">
        <f>SUM(N110:N110)</f>
        <v>169519190.36941427</v>
      </c>
      <c r="O111" s="45"/>
      <c r="P111" s="19"/>
      <c r="Q111" s="61"/>
      <c r="R111" s="36"/>
    </row>
    <row r="112" spans="1:25" ht="16.2" thickBot="1" x14ac:dyDescent="0.35">
      <c r="C112" s="42"/>
      <c r="D112" s="35"/>
      <c r="E112" s="13"/>
      <c r="F112" s="44"/>
      <c r="G112" s="14"/>
      <c r="H112" s="63"/>
      <c r="I112" s="14"/>
      <c r="J112" s="15"/>
      <c r="K112" s="51"/>
      <c r="L112" s="75"/>
      <c r="M112" s="75"/>
      <c r="N112" s="75"/>
      <c r="O112" s="75"/>
      <c r="P112" s="75"/>
      <c r="Q112" s="76"/>
      <c r="R112" s="36"/>
    </row>
    <row r="113" spans="3:26" ht="19.2" thickTop="1" thickBot="1" x14ac:dyDescent="0.4">
      <c r="C113" s="295" t="s">
        <v>31</v>
      </c>
      <c r="D113" s="296"/>
      <c r="E113" s="296"/>
      <c r="F113" s="52"/>
      <c r="G113" s="140">
        <f>SUM(G14:G112)</f>
        <v>553567.83561479999</v>
      </c>
      <c r="H113" s="141"/>
      <c r="I113" s="140"/>
      <c r="J113" s="142">
        <f>SUM(J14:J112)</f>
        <v>169519190.36941427</v>
      </c>
      <c r="K113" s="53"/>
      <c r="L113" s="54"/>
      <c r="M113" s="55"/>
      <c r="N113" s="136">
        <f>N99+N108</f>
        <v>553567.83561479999</v>
      </c>
      <c r="O113" s="137"/>
      <c r="P113" s="138"/>
      <c r="Q113" s="139">
        <f>Q99+Q108</f>
        <v>169519190.36941427</v>
      </c>
      <c r="R113" s="36"/>
    </row>
    <row r="114" spans="3:26" ht="16.2" thickTop="1" x14ac:dyDescent="0.3">
      <c r="C114" s="4"/>
      <c r="D114" s="4"/>
      <c r="E114" s="4"/>
      <c r="F114" s="4"/>
      <c r="H114" s="73"/>
      <c r="J114" s="191">
        <v>169519190.36941424</v>
      </c>
      <c r="K114" s="74"/>
      <c r="L114" s="57"/>
      <c r="M114" s="57"/>
      <c r="N114" s="79">
        <f>+G113-N113</f>
        <v>0</v>
      </c>
      <c r="O114" s="77">
        <f>+J113-N111</f>
        <v>0</v>
      </c>
      <c r="P114" s="78"/>
      <c r="Q114" s="80">
        <f>J113-Q113</f>
        <v>0</v>
      </c>
      <c r="R114" s="36"/>
    </row>
    <row r="115" spans="3:26" s="4" customFormat="1" ht="18" x14ac:dyDescent="0.35">
      <c r="C115" s="56"/>
      <c r="D115" s="17"/>
      <c r="E115" s="44"/>
      <c r="F115" s="62"/>
      <c r="G115" s="18"/>
      <c r="H115" s="74"/>
      <c r="J115" s="191">
        <f>+J113-J114</f>
        <v>0</v>
      </c>
      <c r="K115" s="57"/>
      <c r="L115" s="23"/>
      <c r="M115" s="23"/>
      <c r="N115" s="320">
        <f>'Plasma I 01'!L143:O143</f>
        <v>0</v>
      </c>
      <c r="O115" s="320"/>
      <c r="P115" s="320"/>
      <c r="Q115" s="320"/>
      <c r="R115" s="36"/>
      <c r="Y115" s="21"/>
      <c r="Z115" s="22"/>
    </row>
    <row r="116" spans="3:26" s="4" customFormat="1" ht="18" x14ac:dyDescent="0.35">
      <c r="C116" s="143"/>
      <c r="D116" s="108"/>
      <c r="E116" s="144" t="s">
        <v>35</v>
      </c>
      <c r="F116" s="145"/>
      <c r="G116" s="146"/>
      <c r="H116" s="319" t="s">
        <v>21</v>
      </c>
      <c r="I116" s="319"/>
      <c r="J116" s="184"/>
      <c r="K116" s="148"/>
      <c r="L116" s="144" t="s">
        <v>18</v>
      </c>
      <c r="M116" s="149"/>
      <c r="N116" s="320" t="s">
        <v>22</v>
      </c>
      <c r="O116" s="320"/>
      <c r="P116" s="320"/>
      <c r="Q116" s="320"/>
      <c r="R116" s="36"/>
      <c r="Y116" s="21"/>
      <c r="Z116" s="22"/>
    </row>
    <row r="117" spans="3:26" s="4" customFormat="1" ht="18" x14ac:dyDescent="0.35">
      <c r="C117" s="143"/>
      <c r="D117" s="108"/>
      <c r="E117" s="146"/>
      <c r="F117" s="108"/>
      <c r="G117" s="146"/>
      <c r="H117" s="144"/>
      <c r="I117" s="146"/>
      <c r="J117" s="162"/>
      <c r="K117" s="148"/>
      <c r="L117" s="146"/>
      <c r="M117" s="149"/>
      <c r="N117" s="150"/>
      <c r="O117" s="150"/>
      <c r="P117" s="150"/>
      <c r="Q117" s="150"/>
      <c r="R117" s="36"/>
      <c r="Y117" s="21"/>
      <c r="Z117" s="22"/>
    </row>
    <row r="118" spans="3:26" s="4" customFormat="1" ht="18" x14ac:dyDescent="0.35">
      <c r="C118" s="143"/>
      <c r="D118" s="108"/>
      <c r="E118" s="146"/>
      <c r="F118" s="108"/>
      <c r="G118" s="146"/>
      <c r="H118" s="144"/>
      <c r="I118" s="146"/>
      <c r="J118" s="146"/>
      <c r="K118" s="148"/>
      <c r="L118" s="146"/>
      <c r="M118" s="27"/>
      <c r="N118" s="144"/>
      <c r="O118" s="148"/>
      <c r="P118" s="152"/>
      <c r="Q118" s="153"/>
      <c r="R118" s="36"/>
      <c r="Y118" s="21"/>
      <c r="Z118" s="22"/>
    </row>
    <row r="119" spans="3:26" s="4" customFormat="1" ht="18" x14ac:dyDescent="0.35">
      <c r="C119" s="150"/>
      <c r="D119" s="108"/>
      <c r="E119" s="27"/>
      <c r="F119" s="148"/>
      <c r="G119" s="144"/>
      <c r="H119" s="144"/>
      <c r="I119" s="27"/>
      <c r="J119" s="27"/>
      <c r="K119" s="129"/>
      <c r="L119" s="27"/>
      <c r="M119" s="148"/>
      <c r="N119" s="154"/>
      <c r="O119" s="148"/>
      <c r="P119" s="152"/>
      <c r="Q119" s="153"/>
      <c r="R119" s="38"/>
      <c r="Y119" s="21"/>
      <c r="Z119" s="22"/>
    </row>
    <row r="120" spans="3:26" s="4" customFormat="1" ht="18" x14ac:dyDescent="0.35">
      <c r="C120" s="129"/>
      <c r="D120" s="155"/>
      <c r="E120" s="27"/>
      <c r="F120" s="129"/>
      <c r="G120" s="144"/>
      <c r="H120" s="321"/>
      <c r="I120" s="321"/>
      <c r="J120" s="27"/>
      <c r="K120" s="129"/>
      <c r="L120" s="27"/>
      <c r="M120" s="148"/>
      <c r="N120" s="322"/>
      <c r="O120" s="322"/>
      <c r="P120" s="322"/>
      <c r="Q120" s="322"/>
      <c r="R120" s="20"/>
      <c r="Y120" s="21"/>
      <c r="Z120" s="22"/>
    </row>
    <row r="121" spans="3:26" s="4" customFormat="1" ht="18" x14ac:dyDescent="0.35">
      <c r="C121" s="129"/>
      <c r="D121" s="155"/>
      <c r="E121" s="156" t="s">
        <v>26</v>
      </c>
      <c r="F121" s="129"/>
      <c r="G121" s="156"/>
      <c r="H121" s="321" t="s">
        <v>50</v>
      </c>
      <c r="I121" s="321"/>
      <c r="J121" s="156"/>
      <c r="K121" s="129"/>
      <c r="L121" s="156" t="s">
        <v>19</v>
      </c>
      <c r="M121" s="148"/>
      <c r="N121" s="322" t="s">
        <v>70</v>
      </c>
      <c r="O121" s="322"/>
      <c r="P121" s="322"/>
      <c r="Q121" s="322"/>
      <c r="R121" s="20"/>
      <c r="Y121" s="21"/>
      <c r="Z121" s="22"/>
    </row>
    <row r="122" spans="3:26" s="4" customFormat="1" ht="18" x14ac:dyDescent="0.35">
      <c r="C122" s="129"/>
      <c r="D122" s="155"/>
      <c r="E122" s="144" t="s">
        <v>29</v>
      </c>
      <c r="F122" s="129"/>
      <c r="G122" s="144"/>
      <c r="H122" s="319" t="s">
        <v>27</v>
      </c>
      <c r="I122" s="319"/>
      <c r="J122" s="144"/>
      <c r="K122" s="129"/>
      <c r="L122" s="144" t="s">
        <v>20</v>
      </c>
      <c r="M122" s="129"/>
      <c r="N122" s="320" t="s">
        <v>25</v>
      </c>
      <c r="O122" s="320"/>
      <c r="P122" s="320"/>
      <c r="Q122" s="320"/>
      <c r="R122" s="20"/>
      <c r="Y122" s="21"/>
      <c r="Z122" s="22"/>
    </row>
    <row r="123" spans="3:26" s="27" customFormat="1" ht="18" x14ac:dyDescent="0.35">
      <c r="C123" s="24"/>
      <c r="D123" s="98"/>
      <c r="E123" s="24"/>
      <c r="F123" s="24"/>
      <c r="G123" s="4"/>
      <c r="H123" s="65"/>
      <c r="I123" s="4"/>
      <c r="J123" s="4"/>
      <c r="K123" s="24"/>
      <c r="L123" s="24"/>
      <c r="M123" s="24"/>
      <c r="N123" s="4"/>
      <c r="O123" s="24"/>
      <c r="P123" s="4"/>
      <c r="Q123" s="6"/>
      <c r="R123" s="28"/>
      <c r="Y123" s="29"/>
      <c r="Z123" s="30"/>
    </row>
    <row r="124" spans="3:26" s="30" customFormat="1" ht="18" x14ac:dyDescent="0.35">
      <c r="C124" s="24"/>
      <c r="D124" s="25"/>
      <c r="E124" s="24"/>
      <c r="F124" s="71"/>
      <c r="G124" s="4"/>
      <c r="H124" s="65"/>
      <c r="I124" s="4"/>
      <c r="J124" s="4"/>
      <c r="K124" s="24"/>
      <c r="L124" s="24"/>
      <c r="M124" s="24"/>
      <c r="N124" s="4"/>
      <c r="O124" s="24"/>
      <c r="P124" s="4"/>
      <c r="Q124" s="6"/>
      <c r="R124" s="28"/>
      <c r="S124" s="27"/>
      <c r="T124" s="27"/>
      <c r="U124" s="27"/>
      <c r="V124" s="27"/>
      <c r="W124" s="27"/>
      <c r="X124" s="27"/>
      <c r="Y124" s="29"/>
    </row>
    <row r="125" spans="3:26" s="28" customFormat="1" ht="18" x14ac:dyDescent="0.35">
      <c r="C125" s="24"/>
      <c r="D125" s="25"/>
      <c r="E125" s="24"/>
      <c r="F125" s="71"/>
      <c r="G125" s="4"/>
      <c r="H125" s="65"/>
      <c r="I125" s="4"/>
      <c r="J125" s="4"/>
      <c r="K125" s="24"/>
      <c r="L125" s="24"/>
      <c r="M125" s="24"/>
      <c r="N125" s="4"/>
      <c r="O125" s="24"/>
      <c r="P125" s="4"/>
      <c r="Q125" s="6"/>
      <c r="S125" s="27"/>
      <c r="T125" s="27"/>
      <c r="U125" s="27"/>
      <c r="V125" s="27"/>
      <c r="W125" s="27"/>
      <c r="X125" s="27"/>
      <c r="Y125" s="29"/>
      <c r="Z125" s="30"/>
    </row>
    <row r="126" spans="3:26" s="28" customFormat="1" ht="18" x14ac:dyDescent="0.35">
      <c r="C126" s="24"/>
      <c r="D126" s="25"/>
      <c r="E126" s="24"/>
      <c r="F126" s="24"/>
      <c r="G126" s="4"/>
      <c r="H126" s="65"/>
      <c r="I126" s="4"/>
      <c r="J126" s="4"/>
      <c r="K126" s="24"/>
      <c r="L126" s="24"/>
      <c r="M126" s="24"/>
      <c r="N126" s="4"/>
      <c r="O126" s="24"/>
      <c r="P126" s="4"/>
      <c r="Q126" s="6"/>
      <c r="S126" s="27"/>
      <c r="T126" s="27"/>
      <c r="U126" s="27"/>
      <c r="V126" s="27"/>
      <c r="W126" s="27"/>
      <c r="X126" s="27"/>
      <c r="Y126" s="29"/>
      <c r="Z126" s="30"/>
    </row>
    <row r="127" spans="3:26" s="30" customFormat="1" ht="21" x14ac:dyDescent="0.4">
      <c r="C127" s="24"/>
      <c r="D127" s="99" t="s">
        <v>71</v>
      </c>
      <c r="E127" s="100"/>
      <c r="F127" s="101" t="s">
        <v>72</v>
      </c>
      <c r="G127" s="4"/>
      <c r="H127" s="65"/>
      <c r="I127" s="4"/>
      <c r="J127" s="4"/>
      <c r="K127" s="24"/>
      <c r="L127" s="24"/>
      <c r="M127" s="24"/>
      <c r="N127" s="4"/>
      <c r="O127" s="24"/>
      <c r="P127" s="4"/>
      <c r="Q127" s="6"/>
      <c r="R127" s="28"/>
      <c r="S127" s="27"/>
      <c r="T127" s="27"/>
      <c r="U127" s="27"/>
      <c r="V127" s="27"/>
      <c r="W127" s="27"/>
      <c r="X127" s="27"/>
      <c r="Y127" s="29"/>
    </row>
    <row r="128" spans="3:26" s="28" customFormat="1" ht="21" x14ac:dyDescent="0.4">
      <c r="C128" s="24"/>
      <c r="D128" s="102"/>
      <c r="E128" s="103"/>
      <c r="F128" s="103"/>
      <c r="G128" s="4"/>
      <c r="H128" s="65"/>
      <c r="I128" s="4"/>
      <c r="J128" s="4"/>
      <c r="K128" s="24"/>
      <c r="L128" s="24"/>
      <c r="M128" s="24"/>
      <c r="N128" s="4"/>
      <c r="O128" s="24"/>
      <c r="P128" s="4"/>
      <c r="Q128" s="6"/>
      <c r="S128" s="27"/>
      <c r="T128" s="27"/>
      <c r="U128" s="27"/>
      <c r="V128" s="27"/>
      <c r="W128" s="27"/>
      <c r="X128" s="27"/>
      <c r="Y128" s="29"/>
      <c r="Z128" s="30"/>
    </row>
    <row r="129" spans="3:26" s="28" customFormat="1" ht="18" x14ac:dyDescent="0.35">
      <c r="C129" s="24"/>
      <c r="D129" s="25"/>
      <c r="E129" s="24"/>
      <c r="F129" s="24"/>
      <c r="G129" s="4"/>
      <c r="H129" s="65"/>
      <c r="I129" s="4"/>
      <c r="J129" s="4"/>
      <c r="K129" s="24"/>
      <c r="L129" s="24"/>
      <c r="M129" s="24"/>
      <c r="N129" s="4"/>
      <c r="O129" s="24"/>
      <c r="P129" s="4"/>
      <c r="Q129" s="6"/>
      <c r="S129" s="27"/>
      <c r="T129" s="27"/>
      <c r="U129" s="27"/>
      <c r="V129" s="27"/>
      <c r="W129" s="27"/>
      <c r="X129" s="27"/>
      <c r="Y129" s="29"/>
      <c r="Z129" s="30"/>
    </row>
    <row r="131" spans="3:26" s="20" customFormat="1" x14ac:dyDescent="0.3">
      <c r="C131" s="24"/>
      <c r="D131" s="25"/>
      <c r="E131" s="24"/>
      <c r="F131" s="24"/>
      <c r="G131" s="4"/>
      <c r="H131" s="65"/>
      <c r="I131" s="4"/>
      <c r="J131" s="4"/>
      <c r="K131" s="24"/>
      <c r="L131" s="24"/>
      <c r="M131" s="24"/>
      <c r="N131" s="4"/>
      <c r="O131" s="24"/>
      <c r="P131" s="4"/>
      <c r="Q131" s="6"/>
      <c r="S131" s="4"/>
      <c r="T131" s="4"/>
      <c r="U131" s="4"/>
      <c r="V131" s="4"/>
      <c r="W131" s="4"/>
      <c r="X131" s="4"/>
      <c r="Y131" s="21"/>
      <c r="Z131" s="22"/>
    </row>
  </sheetData>
  <autoFilter ref="D1:Q125" xr:uid="{00000000-0009-0000-0000-000001000000}"/>
  <mergeCells count="25">
    <mergeCell ref="C113:E113"/>
    <mergeCell ref="C8:J9"/>
    <mergeCell ref="L8:Q9"/>
    <mergeCell ref="C11:C12"/>
    <mergeCell ref="D11:D12"/>
    <mergeCell ref="E11:H11"/>
    <mergeCell ref="I11:J11"/>
    <mergeCell ref="K11:K12"/>
    <mergeCell ref="L11:L12"/>
    <mergeCell ref="M11:M12"/>
    <mergeCell ref="N11:N12"/>
    <mergeCell ref="O11:O12"/>
    <mergeCell ref="P11:P12"/>
    <mergeCell ref="Q11:Q12"/>
    <mergeCell ref="R11:Y12"/>
    <mergeCell ref="K13:Q13"/>
    <mergeCell ref="H122:I122"/>
    <mergeCell ref="N122:Q122"/>
    <mergeCell ref="N115:Q115"/>
    <mergeCell ref="H116:I116"/>
    <mergeCell ref="N116:Q116"/>
    <mergeCell ref="H120:I120"/>
    <mergeCell ref="N120:Q120"/>
    <mergeCell ref="H121:I121"/>
    <mergeCell ref="N121:Q121"/>
  </mergeCells>
  <printOptions horizontalCentered="1"/>
  <pageMargins left="0" right="0" top="0" bottom="0" header="0" footer="0"/>
  <pageSetup paperSize="256" scale="37" orientation="landscape" horizontalDpi="4294967293" verticalDpi="360" r:id="rId1"/>
  <rowBreaks count="1" manualBreakCount="1">
    <brk id="81" min="2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F4DF-B7CC-48EA-B1F1-21F9FF2209BB}">
  <sheetPr codeName="Sheet5">
    <tabColor rgb="FF92D050"/>
    <pageSetUpPr fitToPage="1"/>
  </sheetPr>
  <dimension ref="B1:N47"/>
  <sheetViews>
    <sheetView showGridLines="0" view="pageBreakPreview" zoomScale="85" zoomScaleNormal="85" zoomScaleSheetLayoutView="85" workbookViewId="0">
      <selection activeCell="L25" sqref="L25"/>
    </sheetView>
  </sheetViews>
  <sheetFormatPr defaultColWidth="8.88671875" defaultRowHeight="13.8" x14ac:dyDescent="0.25"/>
  <cols>
    <col min="1" max="1" width="1.6640625" style="241" customWidth="1"/>
    <col min="2" max="2" width="12.6640625" style="241" customWidth="1"/>
    <col min="3" max="3" width="4.109375" style="241" customWidth="1"/>
    <col min="4" max="4" width="41.44140625" style="241" bestFit="1" customWidth="1"/>
    <col min="5" max="6" width="10.6640625" style="241" customWidth="1"/>
    <col min="7" max="7" width="18.6640625" style="241" customWidth="1"/>
    <col min="8" max="8" width="22.6640625" style="241" customWidth="1"/>
    <col min="9" max="9" width="1.6640625" style="241" customWidth="1"/>
    <col min="10" max="10" width="1.77734375" style="241" customWidth="1"/>
    <col min="11" max="11" width="17.109375" style="288" customWidth="1"/>
    <col min="12" max="12" width="15" style="288" bestFit="1" customWidth="1"/>
    <col min="13" max="13" width="8.88671875" style="288"/>
    <col min="14" max="14" width="18.88671875" style="288" customWidth="1"/>
    <col min="15" max="16384" width="8.88671875" style="241"/>
  </cols>
  <sheetData>
    <row r="1" spans="2:8" ht="14.4" customHeight="1" x14ac:dyDescent="0.25">
      <c r="B1" s="325"/>
      <c r="C1" s="325"/>
      <c r="D1" s="325"/>
      <c r="E1" s="325"/>
      <c r="F1" s="325"/>
      <c r="G1" s="240"/>
      <c r="H1" s="240"/>
    </row>
    <row r="2" spans="2:8" ht="14.4" customHeight="1" x14ac:dyDescent="0.25">
      <c r="B2" s="239"/>
      <c r="C2" s="239"/>
      <c r="D2" s="239"/>
      <c r="E2" s="239"/>
      <c r="F2" s="239"/>
      <c r="G2" s="240"/>
      <c r="H2" s="240"/>
    </row>
    <row r="3" spans="2:8" ht="14.4" customHeight="1" x14ac:dyDescent="0.25">
      <c r="B3" s="239"/>
      <c r="C3" s="239"/>
      <c r="D3" s="239"/>
      <c r="E3" s="239"/>
      <c r="F3" s="239"/>
      <c r="G3" s="240"/>
      <c r="H3" s="240"/>
    </row>
    <row r="4" spans="2:8" ht="14.4" customHeight="1" x14ac:dyDescent="0.25">
      <c r="B4" s="239"/>
      <c r="C4" s="239"/>
      <c r="D4" s="239"/>
      <c r="E4" s="239"/>
      <c r="F4" s="239"/>
      <c r="G4" s="240"/>
      <c r="H4" s="240"/>
    </row>
    <row r="5" spans="2:8" ht="14.4" customHeight="1" x14ac:dyDescent="0.25">
      <c r="B5" s="239"/>
      <c r="C5" s="239"/>
      <c r="D5" s="239"/>
      <c r="E5" s="239"/>
      <c r="F5" s="239"/>
      <c r="G5" s="240"/>
      <c r="H5" s="240"/>
    </row>
    <row r="6" spans="2:8" ht="69.599999999999994" customHeight="1" x14ac:dyDescent="0.25">
      <c r="B6" s="326" t="s">
        <v>302</v>
      </c>
      <c r="C6" s="326"/>
      <c r="D6" s="326"/>
      <c r="E6" s="326"/>
      <c r="F6" s="326"/>
      <c r="G6" s="326"/>
      <c r="H6" s="326"/>
    </row>
    <row r="7" spans="2:8" ht="14.4" customHeight="1" x14ac:dyDescent="0.25">
      <c r="B7" s="242" t="s">
        <v>303</v>
      </c>
      <c r="C7" s="239" t="s">
        <v>304</v>
      </c>
      <c r="D7" s="242" t="s">
        <v>338</v>
      </c>
      <c r="E7" s="243"/>
      <c r="F7" s="243"/>
      <c r="G7" s="244"/>
      <c r="H7" s="244"/>
    </row>
    <row r="8" spans="2:8" ht="14.4" customHeight="1" x14ac:dyDescent="0.25">
      <c r="B8" s="245" t="s">
        <v>305</v>
      </c>
      <c r="C8" s="239" t="s">
        <v>304</v>
      </c>
      <c r="D8" s="246">
        <v>45688</v>
      </c>
      <c r="H8" s="247"/>
    </row>
    <row r="9" spans="2:8" ht="14.4" customHeight="1" x14ac:dyDescent="0.25">
      <c r="B9" s="245" t="s">
        <v>306</v>
      </c>
      <c r="C9" s="239" t="s">
        <v>304</v>
      </c>
      <c r="D9" s="246">
        <f>D8+30</f>
        <v>45718</v>
      </c>
      <c r="H9" s="247"/>
    </row>
    <row r="10" spans="2:8" ht="14.4" customHeight="1" x14ac:dyDescent="0.25">
      <c r="B10" s="245" t="s">
        <v>307</v>
      </c>
      <c r="C10" s="239" t="s">
        <v>304</v>
      </c>
      <c r="D10" s="245" t="s">
        <v>308</v>
      </c>
      <c r="H10" s="248"/>
    </row>
    <row r="11" spans="2:8" ht="4.95" customHeight="1" x14ac:dyDescent="0.25">
      <c r="B11" s="249"/>
      <c r="C11" s="249"/>
      <c r="D11" s="247"/>
    </row>
    <row r="12" spans="2:8" x14ac:dyDescent="0.25">
      <c r="B12" s="250" t="s">
        <v>309</v>
      </c>
      <c r="C12" s="249"/>
      <c r="D12" s="247"/>
    </row>
    <row r="13" spans="2:8" x14ac:dyDescent="0.25">
      <c r="B13" s="327" t="s">
        <v>203</v>
      </c>
      <c r="C13" s="327"/>
      <c r="D13" s="327"/>
    </row>
    <row r="14" spans="2:8" ht="13.95" customHeight="1" x14ac:dyDescent="0.25">
      <c r="B14" s="328" t="str">
        <f>VLOOKUP($B$13,Daftar!$C$3:$I$35,2,0)</f>
        <v>Jl.Desa Natai Baru Rt.001 Rw.001, Natai Baru, Kab.Kotawaringin Timur</v>
      </c>
      <c r="C14" s="328"/>
      <c r="D14" s="328"/>
    </row>
    <row r="15" spans="2:8" x14ac:dyDescent="0.25">
      <c r="B15" s="328"/>
      <c r="C15" s="328"/>
      <c r="D15" s="328"/>
    </row>
    <row r="16" spans="2:8" x14ac:dyDescent="0.25">
      <c r="B16" s="247" t="s">
        <v>194</v>
      </c>
      <c r="C16" s="251" t="s">
        <v>304</v>
      </c>
      <c r="D16" s="247" t="str">
        <f>VLOOKUP($B$13,Daftar!$C$3:$I$35,3,0)</f>
        <v>63.087.816.3-712.000</v>
      </c>
      <c r="H16" s="248"/>
    </row>
    <row r="17" spans="2:14" x14ac:dyDescent="0.25">
      <c r="B17" s="247" t="s">
        <v>195</v>
      </c>
      <c r="C17" s="251" t="s">
        <v>304</v>
      </c>
      <c r="D17" s="247" t="str">
        <f>VLOOKUP($B$13,Daftar!$C$3:$I$35,4,0)</f>
        <v>-</v>
      </c>
      <c r="H17" s="248"/>
    </row>
    <row r="18" spans="2:14" ht="14.4" customHeight="1" x14ac:dyDescent="0.25">
      <c r="B18" s="247"/>
      <c r="C18" s="247"/>
      <c r="D18" s="247"/>
    </row>
    <row r="19" spans="2:14" ht="14.4" customHeight="1" x14ac:dyDescent="0.25">
      <c r="B19" s="247" t="s">
        <v>310</v>
      </c>
      <c r="C19" s="247"/>
      <c r="D19" s="247"/>
    </row>
    <row r="20" spans="2:14" ht="14.4" customHeight="1" x14ac:dyDescent="0.25">
      <c r="B20" s="247" t="s">
        <v>311</v>
      </c>
      <c r="C20" s="247"/>
      <c r="D20" s="247"/>
    </row>
    <row r="21" spans="2:14" ht="4.95" customHeight="1" x14ac:dyDescent="0.25"/>
    <row r="22" spans="2:14" s="251" customFormat="1" ht="14.4" customHeight="1" x14ac:dyDescent="0.25">
      <c r="B22" s="252" t="s">
        <v>191</v>
      </c>
      <c r="C22" s="329" t="s">
        <v>312</v>
      </c>
      <c r="D22" s="330"/>
      <c r="E22" s="252" t="s">
        <v>313</v>
      </c>
      <c r="F22" s="252" t="s">
        <v>314</v>
      </c>
      <c r="G22" s="252" t="s">
        <v>315</v>
      </c>
      <c r="H22" s="252" t="s">
        <v>33</v>
      </c>
      <c r="K22" s="289"/>
      <c r="L22" s="289"/>
      <c r="M22" s="289"/>
      <c r="N22" s="289"/>
    </row>
    <row r="23" spans="2:14" ht="14.4" customHeight="1" x14ac:dyDescent="0.25">
      <c r="B23" s="254">
        <v>1</v>
      </c>
      <c r="C23" s="255" t="s">
        <v>316</v>
      </c>
      <c r="D23" s="256"/>
      <c r="E23" s="254"/>
      <c r="F23" s="254"/>
      <c r="G23" s="257"/>
      <c r="H23" s="257"/>
    </row>
    <row r="24" spans="2:14" ht="14.4" customHeight="1" x14ac:dyDescent="0.25">
      <c r="B24" s="254"/>
      <c r="C24" s="258" t="s">
        <v>317</v>
      </c>
      <c r="D24" s="256" t="s">
        <v>318</v>
      </c>
      <c r="E24" s="254"/>
      <c r="F24" s="254"/>
      <c r="G24" s="259"/>
      <c r="H24" s="259">
        <f>ROUND(SUMIFS('Plasma II 01'!$J$14:$J$97,'Plasma II 01'!$A$14:$A$97,Surat_2!D24),0)</f>
        <v>108068654</v>
      </c>
    </row>
    <row r="25" spans="2:14" ht="14.4" customHeight="1" x14ac:dyDescent="0.25">
      <c r="B25" s="254"/>
      <c r="C25" s="258" t="s">
        <v>319</v>
      </c>
      <c r="D25" s="261" t="s">
        <v>320</v>
      </c>
      <c r="E25" s="254"/>
      <c r="F25" s="254"/>
      <c r="G25" s="259"/>
      <c r="H25" s="259">
        <f>ROUND(SUMIFS('Plasma II 01'!$J$14:$J$97,'Plasma II 01'!$A$14:$A$97,Surat_2!D25),0)</f>
        <v>33417655</v>
      </c>
    </row>
    <row r="26" spans="2:14" ht="14.4" customHeight="1" x14ac:dyDescent="0.25">
      <c r="B26" s="254"/>
      <c r="C26" s="258" t="s">
        <v>321</v>
      </c>
      <c r="D26" s="261" t="s">
        <v>322</v>
      </c>
      <c r="E26" s="254"/>
      <c r="F26" s="254"/>
      <c r="G26" s="259"/>
      <c r="H26" s="259">
        <f>ROUND(SUMIFS('Plasma II 01'!$J$14:$J$97,'Plasma II 01'!$A$14:$A$97,Surat_2!D26),0)</f>
        <v>27393219</v>
      </c>
    </row>
    <row r="27" spans="2:14" ht="14.4" customHeight="1" x14ac:dyDescent="0.25">
      <c r="B27" s="254"/>
      <c r="C27" s="262" t="s">
        <v>323</v>
      </c>
      <c r="D27" s="263" t="s">
        <v>324</v>
      </c>
      <c r="E27" s="264"/>
      <c r="F27" s="264"/>
      <c r="G27" s="259"/>
      <c r="H27" s="259">
        <f>ROUND(SUMIFS('Plasma II 01'!$J$14:$J$97,'Plasma II 01'!$A$14:$A$97,Surat_2!D27),0)</f>
        <v>639662</v>
      </c>
    </row>
    <row r="28" spans="2:14" ht="14.4" customHeight="1" x14ac:dyDescent="0.25">
      <c r="B28" s="251"/>
      <c r="C28" s="253"/>
      <c r="D28" s="265" t="s">
        <v>325</v>
      </c>
      <c r="E28" s="252"/>
      <c r="F28" s="252"/>
      <c r="G28" s="266"/>
      <c r="H28" s="267">
        <f>SUM(H24:H27)</f>
        <v>169519190</v>
      </c>
    </row>
    <row r="29" spans="2:14" ht="14.4" customHeight="1" x14ac:dyDescent="0.25">
      <c r="B29" s="251"/>
      <c r="C29" s="258"/>
      <c r="D29" s="256" t="s">
        <v>326</v>
      </c>
      <c r="E29" s="269">
        <v>0.05</v>
      </c>
      <c r="F29" s="254"/>
      <c r="G29" s="259"/>
      <c r="H29" s="259">
        <f>ROUND(E29*H28,0)</f>
        <v>8475960</v>
      </c>
    </row>
    <row r="30" spans="2:14" ht="14.4" customHeight="1" x14ac:dyDescent="0.25">
      <c r="B30" s="251"/>
      <c r="C30" s="253"/>
      <c r="D30" s="265" t="s">
        <v>327</v>
      </c>
      <c r="E30" s="252"/>
      <c r="F30" s="252"/>
      <c r="G30" s="267"/>
      <c r="H30" s="267">
        <f>H28+H29</f>
        <v>177995150</v>
      </c>
    </row>
    <row r="31" spans="2:14" s="275" customFormat="1" ht="14.4" customHeight="1" thickBot="1" x14ac:dyDescent="0.3">
      <c r="B31" s="270"/>
      <c r="C31" s="271"/>
      <c r="D31" s="272" t="s">
        <v>341</v>
      </c>
      <c r="E31" s="292" t="s">
        <v>342</v>
      </c>
      <c r="F31" s="273"/>
      <c r="G31" s="274"/>
      <c r="H31" s="274">
        <f>ROUND(H30*11/12,0)</f>
        <v>163162221</v>
      </c>
      <c r="K31" s="290"/>
      <c r="L31" s="290"/>
      <c r="M31" s="290"/>
      <c r="N31" s="290"/>
    </row>
    <row r="32" spans="2:14" ht="14.4" customHeight="1" x14ac:dyDescent="0.25">
      <c r="B32" s="251"/>
      <c r="C32" s="258"/>
      <c r="D32" s="256" t="s">
        <v>343</v>
      </c>
      <c r="E32" s="269">
        <v>0.12</v>
      </c>
      <c r="F32" s="254"/>
      <c r="G32" s="259"/>
      <c r="H32" s="259">
        <f>ROUND(H31*12%,0)</f>
        <v>19579467</v>
      </c>
      <c r="K32" s="294" t="s">
        <v>344</v>
      </c>
    </row>
    <row r="33" spans="2:14" s="277" customFormat="1" ht="14.4" customHeight="1" thickBot="1" x14ac:dyDescent="0.3">
      <c r="B33" s="276"/>
      <c r="C33" s="253"/>
      <c r="D33" s="265" t="s">
        <v>33</v>
      </c>
      <c r="E33" s="252"/>
      <c r="F33" s="252"/>
      <c r="G33" s="267"/>
      <c r="H33" s="267">
        <f>H30+H32</f>
        <v>197574617</v>
      </c>
      <c r="K33" s="293">
        <f>ROUND(H28-'Plasma II 01'!N111,0)</f>
        <v>0</v>
      </c>
      <c r="L33" s="291"/>
      <c r="M33" s="291"/>
      <c r="N33" s="291"/>
    </row>
    <row r="34" spans="2:14" ht="5.0999999999999996" customHeight="1" x14ac:dyDescent="0.25">
      <c r="B34" s="251"/>
      <c r="C34" s="251"/>
      <c r="E34" s="251"/>
      <c r="F34" s="251"/>
      <c r="G34" s="278"/>
      <c r="H34" s="278"/>
    </row>
    <row r="35" spans="2:14" x14ac:dyDescent="0.25">
      <c r="B35" s="277" t="s">
        <v>328</v>
      </c>
      <c r="C35" s="277"/>
      <c r="G35" s="279"/>
      <c r="H35" s="278"/>
    </row>
    <row r="36" spans="2:14" x14ac:dyDescent="0.25">
      <c r="B36" s="331" t="s">
        <v>340</v>
      </c>
      <c r="C36" s="331"/>
      <c r="D36" s="331"/>
      <c r="E36" s="331"/>
      <c r="F36" s="331"/>
      <c r="G36" s="331"/>
      <c r="H36" s="331"/>
    </row>
    <row r="37" spans="2:14" x14ac:dyDescent="0.25">
      <c r="B37" s="331"/>
      <c r="C37" s="331"/>
      <c r="D37" s="331"/>
      <c r="E37" s="331"/>
      <c r="F37" s="331"/>
      <c r="G37" s="331"/>
      <c r="H37" s="331"/>
    </row>
    <row r="38" spans="2:14" ht="14.4" thickBot="1" x14ac:dyDescent="0.3"/>
    <row r="39" spans="2:14" x14ac:dyDescent="0.25">
      <c r="G39" s="280" t="s">
        <v>329</v>
      </c>
      <c r="H39" s="281"/>
    </row>
    <row r="40" spans="2:14" x14ac:dyDescent="0.25">
      <c r="B40" s="277" t="s">
        <v>330</v>
      </c>
      <c r="C40" s="277"/>
      <c r="G40" s="282" t="s">
        <v>331</v>
      </c>
      <c r="H40" s="283"/>
    </row>
    <row r="41" spans="2:14" x14ac:dyDescent="0.25">
      <c r="B41" s="241" t="s">
        <v>332</v>
      </c>
      <c r="G41" s="282" t="s">
        <v>333</v>
      </c>
      <c r="H41" s="283"/>
    </row>
    <row r="42" spans="2:14" ht="15" thickBot="1" x14ac:dyDescent="0.35">
      <c r="B42" s="284" t="s">
        <v>345</v>
      </c>
      <c r="C42" s="285"/>
      <c r="G42" s="286" t="s">
        <v>334</v>
      </c>
      <c r="H42" s="287"/>
    </row>
    <row r="43" spans="2:14" ht="14.4" x14ac:dyDescent="0.3">
      <c r="B43" s="284"/>
      <c r="C43" s="285"/>
    </row>
    <row r="44" spans="2:14" x14ac:dyDescent="0.25">
      <c r="G44" s="323" t="s">
        <v>335</v>
      </c>
      <c r="H44" s="323"/>
    </row>
    <row r="45" spans="2:14" ht="77.25" customHeight="1" x14ac:dyDescent="0.25">
      <c r="G45" s="324"/>
      <c r="H45" s="324"/>
    </row>
    <row r="46" spans="2:14" x14ac:dyDescent="0.25">
      <c r="G46" s="323" t="s">
        <v>336</v>
      </c>
      <c r="H46" s="323"/>
    </row>
    <row r="47" spans="2:14" x14ac:dyDescent="0.25">
      <c r="G47" s="323" t="s">
        <v>337</v>
      </c>
      <c r="H47" s="323"/>
    </row>
  </sheetData>
  <mergeCells count="10">
    <mergeCell ref="G44:H44"/>
    <mergeCell ref="G45:H45"/>
    <mergeCell ref="G46:H46"/>
    <mergeCell ref="G47:H47"/>
    <mergeCell ref="B1:F1"/>
    <mergeCell ref="B6:H6"/>
    <mergeCell ref="B13:D13"/>
    <mergeCell ref="B14:D15"/>
    <mergeCell ref="C22:D22"/>
    <mergeCell ref="B36:H37"/>
  </mergeCells>
  <hyperlinks>
    <hyperlink ref="B42" r:id="rId1" xr:uid="{A20C9A6D-1E50-45D1-BB5C-20C353C1AF6D}"/>
  </hyperlinks>
  <printOptions horizontalCentered="1"/>
  <pageMargins left="0.78740157480314965" right="0.78740157480314965" top="0.59055118110236227" bottom="0.78740157480314965" header="0.31496062992125984" footer="0.31496062992125984"/>
  <pageSetup paperSize="9" scale="70" fitToHeight="0" orientation="portrait" horizontalDpi="4294967293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6641744-EA80-47BD-A2BF-C43EEAE9F476}">
          <x14:formula1>
            <xm:f>Daftar!$C$3:$C$35</xm:f>
          </x14:formula1>
          <xm:sqref>B13:D13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6:G88"/>
  <sheetViews>
    <sheetView view="pageBreakPreview" topLeftCell="A71" zoomScale="82" zoomScaleNormal="110" zoomScaleSheetLayoutView="82" workbookViewId="0">
      <selection activeCell="K93" sqref="K93"/>
    </sheetView>
  </sheetViews>
  <sheetFormatPr defaultColWidth="9.109375" defaultRowHeight="20.25" customHeight="1" x14ac:dyDescent="0.35"/>
  <cols>
    <col min="1" max="1" width="7.109375" style="81" customWidth="1"/>
    <col min="2" max="2" width="12.88671875" style="81" customWidth="1"/>
    <col min="3" max="3" width="48" style="81" customWidth="1"/>
    <col min="4" max="4" width="22.44140625" style="81" customWidth="1"/>
    <col min="5" max="5" width="8.109375" style="81" customWidth="1"/>
    <col min="6" max="6" width="31.44140625" style="81" customWidth="1"/>
    <col min="7" max="7" width="7.109375" style="81" customWidth="1"/>
    <col min="8" max="16384" width="9.109375" style="81"/>
  </cols>
  <sheetData>
    <row r="6" spans="2:3" ht="11.25" customHeight="1" x14ac:dyDescent="0.35"/>
    <row r="7" spans="2:3" ht="20.25" customHeight="1" x14ac:dyDescent="0.35">
      <c r="B7" s="81" t="s">
        <v>46</v>
      </c>
      <c r="C7" s="81" t="s">
        <v>183</v>
      </c>
    </row>
    <row r="8" spans="2:3" ht="20.25" customHeight="1" x14ac:dyDescent="0.35">
      <c r="B8" s="81" t="s">
        <v>47</v>
      </c>
      <c r="C8" s="82" t="s">
        <v>55</v>
      </c>
    </row>
    <row r="9" spans="2:3" ht="20.25" customHeight="1" x14ac:dyDescent="0.35">
      <c r="B9" s="81" t="s">
        <v>48</v>
      </c>
      <c r="C9" s="81" t="s">
        <v>66</v>
      </c>
    </row>
    <row r="12" spans="2:3" ht="20.25" customHeight="1" x14ac:dyDescent="0.35">
      <c r="B12" s="81" t="s">
        <v>36</v>
      </c>
    </row>
    <row r="13" spans="2:3" ht="20.25" customHeight="1" x14ac:dyDescent="0.35">
      <c r="B13" s="83" t="s">
        <v>52</v>
      </c>
    </row>
    <row r="14" spans="2:3" ht="20.25" customHeight="1" x14ac:dyDescent="0.35">
      <c r="B14" s="83" t="s">
        <v>51</v>
      </c>
    </row>
    <row r="15" spans="2:3" ht="20.25" customHeight="1" x14ac:dyDescent="0.35">
      <c r="B15" s="81" t="s">
        <v>37</v>
      </c>
    </row>
    <row r="16" spans="2:3" ht="20.25" customHeight="1" x14ac:dyDescent="0.35">
      <c r="C16" s="81" t="s">
        <v>32</v>
      </c>
    </row>
    <row r="17" spans="2:7" ht="9.75" customHeight="1" x14ac:dyDescent="0.35"/>
    <row r="18" spans="2:7" ht="9.75" customHeight="1" x14ac:dyDescent="0.35"/>
    <row r="19" spans="2:7" ht="20.25" customHeight="1" x14ac:dyDescent="0.35">
      <c r="B19" s="81" t="s">
        <v>38</v>
      </c>
    </row>
    <row r="20" spans="2:7" ht="20.25" customHeight="1" x14ac:dyDescent="0.35">
      <c r="B20" s="81" t="s">
        <v>53</v>
      </c>
    </row>
    <row r="21" spans="2:7" ht="20.25" customHeight="1" x14ac:dyDescent="0.35">
      <c r="B21" s="81" t="s">
        <v>184</v>
      </c>
    </row>
    <row r="23" spans="2:7" ht="20.25" customHeight="1" x14ac:dyDescent="0.35">
      <c r="B23" s="84" t="s">
        <v>5</v>
      </c>
      <c r="C23" s="84" t="s">
        <v>39</v>
      </c>
      <c r="D23" s="332" t="s">
        <v>33</v>
      </c>
      <c r="E23" s="333"/>
      <c r="F23" s="84" t="s">
        <v>40</v>
      </c>
    </row>
    <row r="24" spans="2:7" ht="20.25" customHeight="1" x14ac:dyDescent="0.35">
      <c r="B24" s="84"/>
      <c r="C24" s="84"/>
      <c r="D24" s="85"/>
      <c r="E24" s="86"/>
      <c r="F24" s="84"/>
    </row>
    <row r="25" spans="2:7" ht="20.25" customHeight="1" x14ac:dyDescent="0.35">
      <c r="B25" s="87">
        <v>1</v>
      </c>
      <c r="C25" s="88" t="s">
        <v>54</v>
      </c>
      <c r="D25" s="337">
        <f>Surat_1!H33</f>
        <v>185697772</v>
      </c>
      <c r="E25" s="338"/>
      <c r="F25" s="89"/>
      <c r="G25" s="90"/>
    </row>
    <row r="26" spans="2:7" ht="20.25" customHeight="1" x14ac:dyDescent="0.35">
      <c r="B26" s="89"/>
      <c r="C26" s="91"/>
      <c r="D26" s="337"/>
      <c r="E26" s="338"/>
      <c r="F26" s="89"/>
      <c r="G26" s="90"/>
    </row>
    <row r="27" spans="2:7" ht="20.25" customHeight="1" x14ac:dyDescent="0.35">
      <c r="B27" s="332" t="s">
        <v>33</v>
      </c>
      <c r="C27" s="333"/>
      <c r="D27" s="334">
        <f>+SUM(D25:D26)</f>
        <v>185697772</v>
      </c>
      <c r="E27" s="335"/>
      <c r="F27" s="89"/>
      <c r="G27" s="90"/>
    </row>
    <row r="29" spans="2:7" ht="20.25" customHeight="1" x14ac:dyDescent="0.35">
      <c r="B29" s="81" t="s">
        <v>41</v>
      </c>
    </row>
    <row r="31" spans="2:7" ht="20.25" customHeight="1" x14ac:dyDescent="0.35">
      <c r="B31" s="81" t="s">
        <v>42</v>
      </c>
    </row>
    <row r="32" spans="2:7" ht="20.25" customHeight="1" x14ac:dyDescent="0.35">
      <c r="F32" s="81" t="s">
        <v>67</v>
      </c>
    </row>
    <row r="33" spans="2:6" ht="20.25" customHeight="1" x14ac:dyDescent="0.35">
      <c r="E33" s="336" t="s">
        <v>185</v>
      </c>
      <c r="F33" s="336"/>
    </row>
    <row r="34" spans="2:6" ht="20.25" customHeight="1" x14ac:dyDescent="0.35">
      <c r="E34" s="336" t="s">
        <v>34</v>
      </c>
      <c r="F34" s="336"/>
    </row>
    <row r="38" spans="2:6" ht="20.25" customHeight="1" x14ac:dyDescent="0.35">
      <c r="E38" s="339" t="s">
        <v>26</v>
      </c>
      <c r="F38" s="339"/>
    </row>
    <row r="39" spans="2:6" ht="20.25" customHeight="1" x14ac:dyDescent="0.35">
      <c r="E39" s="336" t="s">
        <v>29</v>
      </c>
      <c r="F39" s="336"/>
    </row>
    <row r="41" spans="2:6" ht="20.25" customHeight="1" x14ac:dyDescent="0.35">
      <c r="B41" s="81" t="s">
        <v>43</v>
      </c>
    </row>
    <row r="42" spans="2:6" ht="20.25" customHeight="1" x14ac:dyDescent="0.35">
      <c r="B42" s="92" t="s">
        <v>44</v>
      </c>
      <c r="C42" s="81" t="s">
        <v>73</v>
      </c>
    </row>
    <row r="43" spans="2:6" ht="20.25" customHeight="1" x14ac:dyDescent="0.35">
      <c r="B43" s="92">
        <v>2</v>
      </c>
      <c r="C43" s="81" t="s">
        <v>74</v>
      </c>
    </row>
    <row r="44" spans="2:6" ht="20.25" customHeight="1" x14ac:dyDescent="0.35">
      <c r="B44" s="92">
        <v>3</v>
      </c>
      <c r="C44" s="81" t="s">
        <v>45</v>
      </c>
    </row>
    <row r="50" spans="2:3" ht="11.25" customHeight="1" x14ac:dyDescent="0.35"/>
    <row r="51" spans="2:3" ht="20.25" customHeight="1" x14ac:dyDescent="0.35">
      <c r="B51" s="81" t="s">
        <v>46</v>
      </c>
      <c r="C51" s="81" t="s">
        <v>183</v>
      </c>
    </row>
    <row r="52" spans="2:3" ht="20.25" customHeight="1" x14ac:dyDescent="0.35">
      <c r="B52" s="81" t="s">
        <v>47</v>
      </c>
      <c r="C52" s="82" t="s">
        <v>55</v>
      </c>
    </row>
    <row r="53" spans="2:3" ht="20.25" customHeight="1" x14ac:dyDescent="0.35">
      <c r="B53" s="81" t="s">
        <v>48</v>
      </c>
      <c r="C53" s="81" t="s">
        <v>66</v>
      </c>
    </row>
    <row r="56" spans="2:3" ht="20.25" customHeight="1" x14ac:dyDescent="0.35">
      <c r="B56" s="81" t="s">
        <v>36</v>
      </c>
    </row>
    <row r="57" spans="2:3" ht="20.25" customHeight="1" x14ac:dyDescent="0.35">
      <c r="B57" s="83" t="s">
        <v>57</v>
      </c>
    </row>
    <row r="58" spans="2:3" ht="20.25" customHeight="1" x14ac:dyDescent="0.35">
      <c r="B58" s="83" t="s">
        <v>51</v>
      </c>
    </row>
    <row r="59" spans="2:3" ht="20.25" customHeight="1" x14ac:dyDescent="0.35">
      <c r="B59" s="81" t="s">
        <v>37</v>
      </c>
    </row>
    <row r="60" spans="2:3" ht="20.25" customHeight="1" x14ac:dyDescent="0.35">
      <c r="C60" s="81" t="s">
        <v>32</v>
      </c>
    </row>
    <row r="61" spans="2:3" ht="9.75" customHeight="1" x14ac:dyDescent="0.35"/>
    <row r="62" spans="2:3" ht="9.75" customHeight="1" x14ac:dyDescent="0.35"/>
    <row r="63" spans="2:3" ht="20.25" customHeight="1" x14ac:dyDescent="0.35">
      <c r="B63" s="81" t="s">
        <v>38</v>
      </c>
    </row>
    <row r="64" spans="2:3" ht="20.25" customHeight="1" x14ac:dyDescent="0.35">
      <c r="B64" s="81" t="s">
        <v>58</v>
      </c>
    </row>
    <row r="65" spans="2:7" ht="20.25" customHeight="1" x14ac:dyDescent="0.35">
      <c r="B65" s="81" t="s">
        <v>184</v>
      </c>
    </row>
    <row r="67" spans="2:7" ht="20.25" customHeight="1" x14ac:dyDescent="0.35">
      <c r="B67" s="84" t="s">
        <v>5</v>
      </c>
      <c r="C67" s="84" t="s">
        <v>39</v>
      </c>
      <c r="D67" s="332" t="s">
        <v>33</v>
      </c>
      <c r="E67" s="333"/>
      <c r="F67" s="84" t="s">
        <v>40</v>
      </c>
    </row>
    <row r="68" spans="2:7" ht="20.25" customHeight="1" x14ac:dyDescent="0.35">
      <c r="B68" s="84"/>
      <c r="C68" s="84"/>
      <c r="D68" s="85"/>
      <c r="E68" s="86"/>
      <c r="F68" s="84"/>
    </row>
    <row r="69" spans="2:7" ht="20.25" customHeight="1" x14ac:dyDescent="0.35">
      <c r="B69" s="87">
        <v>1</v>
      </c>
      <c r="C69" s="88" t="s">
        <v>59</v>
      </c>
      <c r="D69" s="337">
        <f>Surat_2!H33</f>
        <v>197574617</v>
      </c>
      <c r="E69" s="338"/>
      <c r="F69" s="89"/>
      <c r="G69" s="90"/>
    </row>
    <row r="70" spans="2:7" ht="20.25" customHeight="1" x14ac:dyDescent="0.35">
      <c r="B70" s="89"/>
      <c r="C70" s="91"/>
      <c r="D70" s="337"/>
      <c r="E70" s="338"/>
      <c r="F70" s="89"/>
      <c r="G70" s="90"/>
    </row>
    <row r="71" spans="2:7" ht="20.25" customHeight="1" x14ac:dyDescent="0.35">
      <c r="B71" s="332" t="s">
        <v>33</v>
      </c>
      <c r="C71" s="333"/>
      <c r="D71" s="334">
        <f>+SUM(D69:D70)</f>
        <v>197574617</v>
      </c>
      <c r="E71" s="335"/>
      <c r="F71" s="89"/>
      <c r="G71" s="90"/>
    </row>
    <row r="73" spans="2:7" ht="20.25" customHeight="1" x14ac:dyDescent="0.35">
      <c r="B73" s="81" t="s">
        <v>41</v>
      </c>
    </row>
    <row r="75" spans="2:7" ht="20.25" customHeight="1" x14ac:dyDescent="0.35">
      <c r="B75" s="81" t="s">
        <v>42</v>
      </c>
    </row>
    <row r="77" spans="2:7" ht="20.25" customHeight="1" x14ac:dyDescent="0.35">
      <c r="E77" s="336" t="str">
        <f>E33</f>
        <v>Kebun PT DMA, 13 Februari 2025</v>
      </c>
      <c r="F77" s="336"/>
    </row>
    <row r="78" spans="2:7" ht="20.25" customHeight="1" x14ac:dyDescent="0.35">
      <c r="E78" s="336" t="s">
        <v>34</v>
      </c>
      <c r="F78" s="336"/>
    </row>
    <row r="82" spans="2:6" ht="20.25" customHeight="1" x14ac:dyDescent="0.35">
      <c r="E82" s="339" t="s">
        <v>26</v>
      </c>
      <c r="F82" s="339"/>
    </row>
    <row r="83" spans="2:6" ht="20.25" customHeight="1" x14ac:dyDescent="0.35">
      <c r="E83" s="336" t="s">
        <v>29</v>
      </c>
      <c r="F83" s="336"/>
    </row>
    <row r="85" spans="2:6" ht="20.25" customHeight="1" x14ac:dyDescent="0.35">
      <c r="B85" s="81" t="s">
        <v>43</v>
      </c>
    </row>
    <row r="86" spans="2:6" ht="20.25" customHeight="1" x14ac:dyDescent="0.35">
      <c r="B86" s="92" t="s">
        <v>44</v>
      </c>
      <c r="C86" s="81" t="s">
        <v>73</v>
      </c>
    </row>
    <row r="87" spans="2:6" ht="20.25" customHeight="1" x14ac:dyDescent="0.35">
      <c r="B87" s="92">
        <v>2</v>
      </c>
      <c r="C87" s="81" t="s">
        <v>74</v>
      </c>
    </row>
    <row r="88" spans="2:6" ht="20.25" customHeight="1" x14ac:dyDescent="0.35">
      <c r="B88" s="92">
        <v>3</v>
      </c>
      <c r="C88" s="81" t="s">
        <v>45</v>
      </c>
    </row>
  </sheetData>
  <mergeCells count="18">
    <mergeCell ref="E77:F77"/>
    <mergeCell ref="E78:F78"/>
    <mergeCell ref="E82:F82"/>
    <mergeCell ref="E83:F83"/>
    <mergeCell ref="D67:E67"/>
    <mergeCell ref="D69:E69"/>
    <mergeCell ref="D70:E70"/>
    <mergeCell ref="B71:C71"/>
    <mergeCell ref="D71:E71"/>
    <mergeCell ref="E39:F39"/>
    <mergeCell ref="D23:E23"/>
    <mergeCell ref="D25:E25"/>
    <mergeCell ref="D26:E26"/>
    <mergeCell ref="B27:C27"/>
    <mergeCell ref="D27:E27"/>
    <mergeCell ref="E33:F33"/>
    <mergeCell ref="E34:F34"/>
    <mergeCell ref="E38:F38"/>
  </mergeCells>
  <printOptions horizontalCentered="1"/>
  <pageMargins left="0" right="0" top="0" bottom="0" header="0" footer="0"/>
  <pageSetup paperSize="256" scale="82" orientation="portrait" horizontalDpi="4294967293" r:id="rId1"/>
  <rowBreaks count="1" manualBreakCount="1">
    <brk id="44" min="1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Daftar</vt:lpstr>
      <vt:lpstr>Plasma I 01</vt:lpstr>
      <vt:lpstr>Surat_1</vt:lpstr>
      <vt:lpstr>Plasma II 01</vt:lpstr>
      <vt:lpstr>Surat_2</vt:lpstr>
      <vt:lpstr>Surat</vt:lpstr>
      <vt:lpstr>'Plasma I 01'!Print_Area</vt:lpstr>
      <vt:lpstr>'Plasma II 01'!Print_Area</vt:lpstr>
      <vt:lpstr>Surat!Print_Area</vt:lpstr>
      <vt:lpstr>Surat_1!Print_Area</vt:lpstr>
      <vt:lpstr>Surat_2!Print_Area</vt:lpstr>
      <vt:lpstr>'Plasma I 01'!Print_Titles</vt:lpstr>
      <vt:lpstr>'Plasma II 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restu andrian</cp:lastModifiedBy>
  <cp:lastPrinted>2025-02-19T05:49:58Z</cp:lastPrinted>
  <dcterms:created xsi:type="dcterms:W3CDTF">2015-11-10T07:19:13Z</dcterms:created>
  <dcterms:modified xsi:type="dcterms:W3CDTF">2025-02-19T07:43:21Z</dcterms:modified>
</cp:coreProperties>
</file>