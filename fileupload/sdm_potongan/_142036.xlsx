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C5511C06-880B-42C2-9F1E-A8427FD45F70}" xr6:coauthVersionLast="47" xr6:coauthVersionMax="47" xr10:uidLastSave="{00000000-0000-0000-0000-000000000000}"/>
  <bookViews>
    <workbookView xWindow="-120" yWindow="-120" windowWidth="20730" windowHeight="11040"/>
  </bookViews>
  <sheets>
    <sheet name="Daftar_Karyawan_CARE (16)" sheetId="1" r:id="rId1"/>
  </sheets>
  <externalReferences>
    <externalReference r:id="rId2"/>
  </externalReferences>
  <definedNames>
    <definedName name="_xlnm._FilterDatabase" localSheetId="0" hidden="1">'Daftar_Karyawan_CARE (16)'!$A$1:$G$114</definedName>
  </definedNames>
  <calcPr calcId="191029"/>
</workbook>
</file>

<file path=xl/calcChain.xml><?xml version="1.0" encoding="utf-8"?>
<calcChain xmlns="http://schemas.openxmlformats.org/spreadsheetml/2006/main">
  <c r="F114" i="1" l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<sst xmlns="http://schemas.openxmlformats.org/spreadsheetml/2006/main" count="685" uniqueCount="264">
  <si>
    <t>No Induk Karyawan</t>
  </si>
  <si>
    <t>Nama</t>
  </si>
  <si>
    <t>Jabatan</t>
  </si>
  <si>
    <t>Lokasi Tugas</t>
  </si>
  <si>
    <t>Divisi</t>
  </si>
  <si>
    <t>Jumlah</t>
  </si>
  <si>
    <t>Keterangan</t>
  </si>
  <si>
    <t>CARCARE08259018</t>
  </si>
  <si>
    <t>A.SUHANDI</t>
  </si>
  <si>
    <t>PEMANEN</t>
  </si>
  <si>
    <t>CARE</t>
  </si>
  <si>
    <t>KANTOR</t>
  </si>
  <si>
    <t>MANDOR PERAWATAN</t>
  </si>
  <si>
    <t>PERAWATAN</t>
  </si>
  <si>
    <t>CARCARE25020053</t>
  </si>
  <si>
    <t>ACHMAD JARZANA</t>
  </si>
  <si>
    <t>Pelaksana Akuntansi</t>
  </si>
  <si>
    <t>SATPAM</t>
  </si>
  <si>
    <t>CARCARE21060146</t>
  </si>
  <si>
    <t>Agus Jayadi</t>
  </si>
  <si>
    <t>CARCARE25020176</t>
  </si>
  <si>
    <t>AGUS SURYONO PUTRA</t>
  </si>
  <si>
    <t>CARCARE25050134</t>
  </si>
  <si>
    <t>Agus Susanto</t>
  </si>
  <si>
    <t>CARCARE11120127</t>
  </si>
  <si>
    <t>AGUS WAHYUDI</t>
  </si>
  <si>
    <t>SUPIR MOBIL</t>
  </si>
  <si>
    <t>CARCARE25040035</t>
  </si>
  <si>
    <t>Ahmad Ali Kardawi</t>
  </si>
  <si>
    <t>CARCARE13090010</t>
  </si>
  <si>
    <t>AHMAD SABIRIN</t>
  </si>
  <si>
    <t>Mandor Produksi</t>
  </si>
  <si>
    <t>CARCARE21040156</t>
  </si>
  <si>
    <t>AHMAD SURYADI</t>
  </si>
  <si>
    <t>Operator Boomark</t>
  </si>
  <si>
    <t>CARCARE21080132</t>
  </si>
  <si>
    <t>AHMAD SYARIF</t>
  </si>
  <si>
    <t>CARCARE17110196</t>
  </si>
  <si>
    <t>AHMADUN</t>
  </si>
  <si>
    <t>Kerani Produksi</t>
  </si>
  <si>
    <t>CARCARE21120177</t>
  </si>
  <si>
    <t>Al Azhar</t>
  </si>
  <si>
    <t>CARCARE21110044</t>
  </si>
  <si>
    <t>Albertus Kasse</t>
  </si>
  <si>
    <t>CARCARE11120186</t>
  </si>
  <si>
    <t>ALDIANSYAH</t>
  </si>
  <si>
    <t>OPERATOR GENSET</t>
  </si>
  <si>
    <t>CARCARE24120182</t>
  </si>
  <si>
    <t>Andika</t>
  </si>
  <si>
    <t>CARCARE14100144</t>
  </si>
  <si>
    <t>Angelius Anoit</t>
  </si>
  <si>
    <t>CARCARE14080145</t>
  </si>
  <si>
    <t>Anjar Chori Oktavia</t>
  </si>
  <si>
    <t>Perawat/Bidan Klinik</t>
  </si>
  <si>
    <t>CARCARE23010158</t>
  </si>
  <si>
    <t>ANNAS RAKHMATULLAH</t>
  </si>
  <si>
    <t>CARCARE19060179</t>
  </si>
  <si>
    <t>ARDI SUMARSO</t>
  </si>
  <si>
    <t>CARCARE08259022</t>
  </si>
  <si>
    <t>ASRI WIRDANI</t>
  </si>
  <si>
    <t>Kepala Divisi</t>
  </si>
  <si>
    <t>CARCARE23110016</t>
  </si>
  <si>
    <t>BAHTIAR</t>
  </si>
  <si>
    <t>PEMUAT TBS</t>
  </si>
  <si>
    <t>CARCARE24080111</t>
  </si>
  <si>
    <t>Benediktus Seran</t>
  </si>
  <si>
    <t>CARCARE10259035</t>
  </si>
  <si>
    <t>DEDI SOPIAN WAWAN PUTRAWAN</t>
  </si>
  <si>
    <t>CARCARE17110065</t>
  </si>
  <si>
    <t>DEDY PRAWOTO</t>
  </si>
  <si>
    <t>CARCARE21120181</t>
  </si>
  <si>
    <t>DENY ARDIANSYAH</t>
  </si>
  <si>
    <t>CARCARE24100039</t>
  </si>
  <si>
    <t>DERMAWAN</t>
  </si>
  <si>
    <t>CARCARE08030007</t>
  </si>
  <si>
    <t>Edi Saputra</t>
  </si>
  <si>
    <t>CARCARE10259034</t>
  </si>
  <si>
    <t>EDI SAPUTRA</t>
  </si>
  <si>
    <t>Operator Kandang Sapi</t>
  </si>
  <si>
    <t>CARCARE11120049</t>
  </si>
  <si>
    <t>EKO RAHMAD</t>
  </si>
  <si>
    <t>Operator Truk</t>
  </si>
  <si>
    <t>CARCARE24090032</t>
  </si>
  <si>
    <t>Eko Siswanto</t>
  </si>
  <si>
    <t>Mudim</t>
  </si>
  <si>
    <t>CARCARE24100130</t>
  </si>
  <si>
    <t>HAIRIN SEPTIAN</t>
  </si>
  <si>
    <t>CARCARE21070058</t>
  </si>
  <si>
    <t>Haji Muhammad As ari</t>
  </si>
  <si>
    <t>CARCARE22010157</t>
  </si>
  <si>
    <t>HENDRIYANI</t>
  </si>
  <si>
    <t>CARCARE11050123</t>
  </si>
  <si>
    <t>HERMAN SAPUTRA</t>
  </si>
  <si>
    <t>HELPER MEKANIK</t>
  </si>
  <si>
    <t>CARCARE25050183</t>
  </si>
  <si>
    <t>HERMANI</t>
  </si>
  <si>
    <t>CARCARE21120135</t>
  </si>
  <si>
    <t>I KETUT SEPTIANA SAPUTRA</t>
  </si>
  <si>
    <t>LANLANE25010092</t>
  </si>
  <si>
    <t>IRFAN MANSYUR</t>
  </si>
  <si>
    <t>CARCARE22090012</t>
  </si>
  <si>
    <t>Iwan</t>
  </si>
  <si>
    <t>CARCARE21120142</t>
  </si>
  <si>
    <t>Jupri</t>
  </si>
  <si>
    <t>CARCARE13060057</t>
  </si>
  <si>
    <t>Kadir</t>
  </si>
  <si>
    <t>CARCARE08070024</t>
  </si>
  <si>
    <t>Kamarudin Ridhani</t>
  </si>
  <si>
    <t>CARCARE23010050</t>
  </si>
  <si>
    <t>KAMARULLAH</t>
  </si>
  <si>
    <t>CARCARE88090030</t>
  </si>
  <si>
    <t>KASIHAN</t>
  </si>
  <si>
    <t>CARCARE24090166</t>
  </si>
  <si>
    <t>KETUT ARDIANTA</t>
  </si>
  <si>
    <t>CARCARE21120071</t>
  </si>
  <si>
    <t>KOMANG MURDITA</t>
  </si>
  <si>
    <t>CARCARE24030175</t>
  </si>
  <si>
    <t>Kuswanto</t>
  </si>
  <si>
    <t>CARCARE14010112</t>
  </si>
  <si>
    <t>Lanjar</t>
  </si>
  <si>
    <t>CARCARE22090128</t>
  </si>
  <si>
    <t>LIYA AMELA DENI</t>
  </si>
  <si>
    <t>Tata Usaha</t>
  </si>
  <si>
    <t>CARCARE24040054</t>
  </si>
  <si>
    <t>LUKMANUL HAKIM</t>
  </si>
  <si>
    <t>Pelaksana Pajak</t>
  </si>
  <si>
    <t>CARCARE25060056</t>
  </si>
  <si>
    <t>M Hasanul Rizki</t>
  </si>
  <si>
    <t>CARCARE08259023</t>
  </si>
  <si>
    <t>M HERI</t>
  </si>
  <si>
    <t>LANLANE25050141</t>
  </si>
  <si>
    <t>M JUANDA</t>
  </si>
  <si>
    <t>Kernet</t>
  </si>
  <si>
    <t>CARCARE22060162</t>
  </si>
  <si>
    <t>M RIDHO DWI ANUGERAH</t>
  </si>
  <si>
    <t>CARCARE12110009</t>
  </si>
  <si>
    <t>M. FAUZY</t>
  </si>
  <si>
    <t>CARCARE08259019</t>
  </si>
  <si>
    <t>M.ZEIN</t>
  </si>
  <si>
    <t>CARCARE21060045</t>
  </si>
  <si>
    <t>MARJATA</t>
  </si>
  <si>
    <t>EMPLASMENT</t>
  </si>
  <si>
    <t>CARCARE24070187</t>
  </si>
  <si>
    <t>Marmin</t>
  </si>
  <si>
    <t>CARCARE19070022</t>
  </si>
  <si>
    <t>Matius Sugeng Hadi Pramana</t>
  </si>
  <si>
    <t>Operator Excavator</t>
  </si>
  <si>
    <t>CARCARE18030006</t>
  </si>
  <si>
    <t>MISRI</t>
  </si>
  <si>
    <t>CARCARE02030018</t>
  </si>
  <si>
    <t>MISRUNI</t>
  </si>
  <si>
    <t>MANDOR TRAKSI</t>
  </si>
  <si>
    <t>CARCARE25120004</t>
  </si>
  <si>
    <t>Muhamad Jefri Wahyudi</t>
  </si>
  <si>
    <t>CARCARE24110059</t>
  </si>
  <si>
    <t>Muhammad Amri</t>
  </si>
  <si>
    <t>CARCARE12120178</t>
  </si>
  <si>
    <t>Muhammad Dardiansyah</t>
  </si>
  <si>
    <t>CARCARE23030164</t>
  </si>
  <si>
    <t>Muhammad Ghofur</t>
  </si>
  <si>
    <t>CARCARE19070118</t>
  </si>
  <si>
    <t>MUHAMMAD HARTONI</t>
  </si>
  <si>
    <t>CARCARE11050025</t>
  </si>
  <si>
    <t>Muhammad Jaelani</t>
  </si>
  <si>
    <t>CARCARE25040072</t>
  </si>
  <si>
    <t>Muhammad Jidan</t>
  </si>
  <si>
    <t>CARCARE24090036</t>
  </si>
  <si>
    <t>Muhammad Riswanto</t>
  </si>
  <si>
    <t>CARCARE18100159</t>
  </si>
  <si>
    <t>MUHASIM</t>
  </si>
  <si>
    <t>Supir</t>
  </si>
  <si>
    <t>LANLANE22110150</t>
  </si>
  <si>
    <t>MUNAWAR</t>
  </si>
  <si>
    <t>Loding</t>
  </si>
  <si>
    <t>CARCARE21090152</t>
  </si>
  <si>
    <t>NANANG SYAIFULLAH</t>
  </si>
  <si>
    <t>CARCARE24090150</t>
  </si>
  <si>
    <t>Napoleao Mario Jill</t>
  </si>
  <si>
    <t>CARCARE12040155</t>
  </si>
  <si>
    <t>NUR RAHMAN JAYA</t>
  </si>
  <si>
    <t>CARCARE10070043</t>
  </si>
  <si>
    <t>Panuwun</t>
  </si>
  <si>
    <t>CARCARE18090170</t>
  </si>
  <si>
    <t>PARWATI</t>
  </si>
  <si>
    <t>CARCARE21120015</t>
  </si>
  <si>
    <t>PRAMUDYA SHANDY</t>
  </si>
  <si>
    <t>CARCARE17030004</t>
  </si>
  <si>
    <t>Rafi i</t>
  </si>
  <si>
    <t>CARCARE21090092</t>
  </si>
  <si>
    <t>RAHMAT SALEH</t>
  </si>
  <si>
    <t>CARCARE12259041</t>
  </si>
  <si>
    <t>RAMLI</t>
  </si>
  <si>
    <t>CARCARE21120120</t>
  </si>
  <si>
    <t>RANGGA KURNIAWAN</t>
  </si>
  <si>
    <t>CARCARE18020013</t>
  </si>
  <si>
    <t>RISKA MASLIANI</t>
  </si>
  <si>
    <t>Sekretaris</t>
  </si>
  <si>
    <t>CARCARE11259037</t>
  </si>
  <si>
    <t>RONI</t>
  </si>
  <si>
    <t>CARCARE25010113</t>
  </si>
  <si>
    <t>RUDIANSYAH</t>
  </si>
  <si>
    <t>CARCARE22080154</t>
  </si>
  <si>
    <t>RUSALAM</t>
  </si>
  <si>
    <t>CARCARE19080033</t>
  </si>
  <si>
    <t>Ruslan</t>
  </si>
  <si>
    <t>CARCARE21060011</t>
  </si>
  <si>
    <t>Rusli</t>
  </si>
  <si>
    <t>CARCARE96100168</t>
  </si>
  <si>
    <t>RUSMADI</t>
  </si>
  <si>
    <t>CARCARE24090137</t>
  </si>
  <si>
    <t>Saharani</t>
  </si>
  <si>
    <t>CARCARE24030109</t>
  </si>
  <si>
    <t>Sahnan</t>
  </si>
  <si>
    <t>CARCARE24090136</t>
  </si>
  <si>
    <t>Sapri</t>
  </si>
  <si>
    <t>CARCARE21030125</t>
  </si>
  <si>
    <t>Sarkim</t>
  </si>
  <si>
    <t>CARCARE24040055</t>
  </si>
  <si>
    <t>SATRIA WIBOWO HADI PUTRA</t>
  </si>
  <si>
    <t>CARCARE21120147</t>
  </si>
  <si>
    <t>SOLEMAN</t>
  </si>
  <si>
    <t>CARCARE08120108</t>
  </si>
  <si>
    <t>Subandi</t>
  </si>
  <si>
    <t>CARCARE24120173</t>
  </si>
  <si>
    <t>Suhaili</t>
  </si>
  <si>
    <t>CARCARE10030151</t>
  </si>
  <si>
    <t>SUMAR</t>
  </si>
  <si>
    <t>CARCARE99040002</t>
  </si>
  <si>
    <t>SUNYOTO</t>
  </si>
  <si>
    <t>Pelaksana Mekanik</t>
  </si>
  <si>
    <t>CARCARE17110021</t>
  </si>
  <si>
    <t>SUPRIYANTO</t>
  </si>
  <si>
    <t>CARCARE23070026</t>
  </si>
  <si>
    <t>SURHANI</t>
  </si>
  <si>
    <t>CARCARE19120188</t>
  </si>
  <si>
    <t>SURYA MANDAU</t>
  </si>
  <si>
    <t>CARCARE08020028</t>
  </si>
  <si>
    <t>Suryani</t>
  </si>
  <si>
    <t>Operator Greader</t>
  </si>
  <si>
    <t>CARCARE92090124</t>
  </si>
  <si>
    <t>SUYATNO</t>
  </si>
  <si>
    <t>CARCARE10070212</t>
  </si>
  <si>
    <t>Suyatno</t>
  </si>
  <si>
    <t>CARCARE14100041</t>
  </si>
  <si>
    <t>WAHYU</t>
  </si>
  <si>
    <t>CARCARE20050008</t>
  </si>
  <si>
    <t>WALUYO</t>
  </si>
  <si>
    <t>CARCARE24100040</t>
  </si>
  <si>
    <t>WAWAN SAPUTRA</t>
  </si>
  <si>
    <t>CARCARE21070067</t>
  </si>
  <si>
    <t>Wijianto</t>
  </si>
  <si>
    <t>CARCARE08250001</t>
  </si>
  <si>
    <t>YOHANES FERNANDES MALI</t>
  </si>
  <si>
    <t>CARCARE25030051</t>
  </si>
  <si>
    <t>Yohanes Kasse</t>
  </si>
  <si>
    <t>CARCARE19070149</t>
  </si>
  <si>
    <t>YOKO HADIANTO</t>
  </si>
  <si>
    <t>CARCARE24110023</t>
  </si>
  <si>
    <t>YONGKI AHMAD MARIADI</t>
  </si>
  <si>
    <t>CARCARE25040069</t>
  </si>
  <si>
    <t>Yorim Nesimnasi</t>
  </si>
  <si>
    <t>CARCARE10020140</t>
  </si>
  <si>
    <t>Zainal Hakim Noor</t>
  </si>
  <si>
    <t>WASERDA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</si>
</sst>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SERDA%20DESEMBER%20CA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poran_Potongan_ (1)"/>
    </sheetNames>
    <sheetDataSet>
      <sheetData sheetId="0">
        <row r="6">
          <cell r="C6" t="str">
            <v>A.SUHANDI</v>
          </cell>
          <cell r="D6" t="str">
            <v>KHL</v>
          </cell>
          <cell r="E6" t="str">
            <v>CARE</v>
          </cell>
          <cell r="F6">
            <v>2064370</v>
          </cell>
        </row>
        <row r="7">
          <cell r="C7" t="str">
            <v>ACHMAD JARZANA</v>
          </cell>
          <cell r="D7" t="str">
            <v>KHT</v>
          </cell>
          <cell r="E7" t="str">
            <v>CARE</v>
          </cell>
          <cell r="F7">
            <v>32380</v>
          </cell>
        </row>
        <row r="8">
          <cell r="C8" t="str">
            <v>Agus Jayadi</v>
          </cell>
          <cell r="D8" t="str">
            <v>KHT</v>
          </cell>
          <cell r="E8" t="str">
            <v>CARE</v>
          </cell>
          <cell r="F8">
            <v>1108040</v>
          </cell>
        </row>
        <row r="9">
          <cell r="C9" t="str">
            <v>AGUS SURYONO PUTRA</v>
          </cell>
          <cell r="D9" t="str">
            <v>KHL</v>
          </cell>
          <cell r="E9" t="str">
            <v>CARE</v>
          </cell>
          <cell r="F9">
            <v>760</v>
          </cell>
        </row>
        <row r="10">
          <cell r="C10" t="str">
            <v>Agus Susanto</v>
          </cell>
          <cell r="D10" t="str">
            <v>KHT</v>
          </cell>
          <cell r="E10" t="str">
            <v>CARE</v>
          </cell>
          <cell r="F10">
            <v>722200</v>
          </cell>
        </row>
        <row r="11">
          <cell r="C11" t="str">
            <v>AGUS WAHYUDI</v>
          </cell>
          <cell r="D11" t="str">
            <v>NON STAFF</v>
          </cell>
          <cell r="E11" t="str">
            <v>CARE</v>
          </cell>
          <cell r="F11">
            <v>3338014</v>
          </cell>
        </row>
        <row r="12">
          <cell r="C12" t="str">
            <v>Ahmad Ali Kardawi</v>
          </cell>
          <cell r="D12" t="str">
            <v>KHT</v>
          </cell>
          <cell r="E12" t="str">
            <v>CARE</v>
          </cell>
          <cell r="F12">
            <v>60500</v>
          </cell>
        </row>
        <row r="13">
          <cell r="C13" t="str">
            <v>AHMAD SABIRIN</v>
          </cell>
          <cell r="D13" t="str">
            <v>NON STAFF</v>
          </cell>
          <cell r="E13" t="str">
            <v>CARE</v>
          </cell>
          <cell r="F13">
            <v>591654</v>
          </cell>
        </row>
        <row r="14">
          <cell r="C14" t="str">
            <v>AHMAD SURYADI</v>
          </cell>
          <cell r="D14" t="str">
            <v>KHT</v>
          </cell>
          <cell r="E14" t="str">
            <v>CARE</v>
          </cell>
          <cell r="F14">
            <v>231260</v>
          </cell>
        </row>
        <row r="15">
          <cell r="C15" t="str">
            <v>AHMAD SYARIF</v>
          </cell>
          <cell r="D15" t="str">
            <v>KHT</v>
          </cell>
          <cell r="E15" t="str">
            <v>CARE</v>
          </cell>
          <cell r="F15">
            <v>2635250</v>
          </cell>
        </row>
        <row r="16">
          <cell r="C16" t="str">
            <v>AHMADUN</v>
          </cell>
          <cell r="D16" t="str">
            <v>NON STAFF</v>
          </cell>
          <cell r="E16" t="str">
            <v>CARE</v>
          </cell>
          <cell r="F16">
            <v>2064394</v>
          </cell>
        </row>
        <row r="17">
          <cell r="C17" t="str">
            <v>Al Azhar</v>
          </cell>
          <cell r="D17" t="str">
            <v>KHT</v>
          </cell>
          <cell r="E17" t="str">
            <v>CARE</v>
          </cell>
          <cell r="F17">
            <v>1006375</v>
          </cell>
        </row>
        <row r="18">
          <cell r="C18" t="str">
            <v>Albertus Kasse</v>
          </cell>
          <cell r="D18" t="str">
            <v>KHL</v>
          </cell>
          <cell r="E18" t="str">
            <v>CARE</v>
          </cell>
          <cell r="F18">
            <v>945000</v>
          </cell>
        </row>
        <row r="19">
          <cell r="C19" t="str">
            <v>ALDIANSYAH</v>
          </cell>
          <cell r="D19" t="str">
            <v>NON STAFF</v>
          </cell>
          <cell r="E19" t="str">
            <v>CARE</v>
          </cell>
          <cell r="F19">
            <v>315000</v>
          </cell>
        </row>
        <row r="20">
          <cell r="C20" t="str">
            <v>Andika</v>
          </cell>
          <cell r="D20" t="str">
            <v>KHL</v>
          </cell>
          <cell r="E20" t="str">
            <v>CARE</v>
          </cell>
          <cell r="F20">
            <v>1512000</v>
          </cell>
        </row>
        <row r="21">
          <cell r="C21" t="str">
            <v>Angelius Anoit</v>
          </cell>
          <cell r="D21" t="str">
            <v>KHT</v>
          </cell>
          <cell r="E21" t="str">
            <v>CARE</v>
          </cell>
          <cell r="F21">
            <v>1503125</v>
          </cell>
        </row>
        <row r="22">
          <cell r="C22" t="str">
            <v>Anjar Chori Oktavia</v>
          </cell>
          <cell r="D22" t="str">
            <v>NON STAFF</v>
          </cell>
          <cell r="E22" t="str">
            <v>CARE</v>
          </cell>
          <cell r="F22">
            <v>385000</v>
          </cell>
        </row>
        <row r="23">
          <cell r="C23" t="str">
            <v>ANNAS RAKHMATULLAH</v>
          </cell>
          <cell r="D23" t="str">
            <v>KHT</v>
          </cell>
          <cell r="E23" t="str">
            <v>CARE</v>
          </cell>
          <cell r="F23">
            <v>951306</v>
          </cell>
        </row>
        <row r="24">
          <cell r="C24" t="str">
            <v>ARDI SUMARSO</v>
          </cell>
          <cell r="D24" t="str">
            <v>NON STAFF</v>
          </cell>
          <cell r="E24" t="str">
            <v>CARE</v>
          </cell>
          <cell r="F24">
            <v>1137343</v>
          </cell>
        </row>
        <row r="25">
          <cell r="C25" t="str">
            <v>ASRI WIRDANI</v>
          </cell>
          <cell r="D25" t="str">
            <v>KHL</v>
          </cell>
          <cell r="E25" t="str">
            <v>CARE</v>
          </cell>
          <cell r="F25">
            <v>1502500</v>
          </cell>
        </row>
        <row r="26">
          <cell r="C26" t="str">
            <v>BAHTIAR</v>
          </cell>
          <cell r="D26" t="str">
            <v>KHL</v>
          </cell>
          <cell r="E26" t="str">
            <v>CARE</v>
          </cell>
          <cell r="F26">
            <v>245000</v>
          </cell>
        </row>
        <row r="27">
          <cell r="C27" t="str">
            <v>Benediktus Seran</v>
          </cell>
          <cell r="D27" t="str">
            <v>KHT</v>
          </cell>
          <cell r="E27" t="str">
            <v>CARE</v>
          </cell>
          <cell r="F27">
            <v>1084500</v>
          </cell>
        </row>
        <row r="28">
          <cell r="C28" t="str">
            <v>DEDI SOPIAN WAWAN PUTRAWAN</v>
          </cell>
          <cell r="D28" t="str">
            <v>KHL</v>
          </cell>
          <cell r="E28" t="str">
            <v>CARE</v>
          </cell>
          <cell r="F28">
            <v>393000</v>
          </cell>
        </row>
        <row r="29">
          <cell r="C29" t="str">
            <v>DEDY PRAWOTO</v>
          </cell>
          <cell r="D29" t="str">
            <v>NON STAFF</v>
          </cell>
          <cell r="E29" t="str">
            <v>CARE</v>
          </cell>
          <cell r="F29">
            <v>2191816</v>
          </cell>
        </row>
        <row r="30">
          <cell r="C30" t="str">
            <v>DENY ARDIANSYAH</v>
          </cell>
          <cell r="D30" t="str">
            <v>KHT</v>
          </cell>
          <cell r="E30" t="str">
            <v>CARE</v>
          </cell>
          <cell r="F30">
            <v>1441042</v>
          </cell>
        </row>
        <row r="31">
          <cell r="C31" t="str">
            <v>DERMAWAN</v>
          </cell>
          <cell r="D31" t="str">
            <v>KHT</v>
          </cell>
          <cell r="E31" t="str">
            <v>CARE</v>
          </cell>
          <cell r="F31">
            <v>1137062</v>
          </cell>
        </row>
        <row r="32">
          <cell r="C32" t="str">
            <v>Edi Saputra</v>
          </cell>
          <cell r="D32" t="str">
            <v>NON STAFF</v>
          </cell>
          <cell r="E32" t="str">
            <v>CARE</v>
          </cell>
          <cell r="F32">
            <v>2191816</v>
          </cell>
        </row>
        <row r="33">
          <cell r="C33" t="str">
            <v>EKO RAHMAD</v>
          </cell>
          <cell r="D33" t="str">
            <v>NON STAFF</v>
          </cell>
          <cell r="E33" t="str">
            <v>CARE</v>
          </cell>
          <cell r="F33">
            <v>737500</v>
          </cell>
        </row>
        <row r="34">
          <cell r="C34" t="str">
            <v>Eko Siswanto</v>
          </cell>
          <cell r="D34" t="str">
            <v>KHT</v>
          </cell>
          <cell r="E34" t="str">
            <v>CARE</v>
          </cell>
          <cell r="F34">
            <v>2719034</v>
          </cell>
        </row>
        <row r="35">
          <cell r="C35" t="str">
            <v>HAIRIN SEPTIAN</v>
          </cell>
          <cell r="D35" t="str">
            <v>KHT</v>
          </cell>
          <cell r="E35" t="str">
            <v>CARE</v>
          </cell>
          <cell r="F35">
            <v>907557</v>
          </cell>
        </row>
        <row r="36">
          <cell r="C36" t="str">
            <v>Haji Muhammad As ari</v>
          </cell>
          <cell r="D36" t="str">
            <v>KHT</v>
          </cell>
          <cell r="E36" t="str">
            <v>CARE</v>
          </cell>
          <cell r="F36">
            <v>237000</v>
          </cell>
        </row>
        <row r="37">
          <cell r="C37" t="str">
            <v>HENDRIYANI</v>
          </cell>
          <cell r="D37" t="str">
            <v>KHT</v>
          </cell>
          <cell r="E37" t="str">
            <v>CARE</v>
          </cell>
          <cell r="F37">
            <v>269500</v>
          </cell>
        </row>
        <row r="38">
          <cell r="C38" t="str">
            <v>HERMAN SAPUTRA</v>
          </cell>
          <cell r="D38" t="str">
            <v>NON STAFF</v>
          </cell>
          <cell r="E38" t="str">
            <v>CARE</v>
          </cell>
          <cell r="F38">
            <v>1756250</v>
          </cell>
        </row>
        <row r="39">
          <cell r="C39" t="str">
            <v>HERMANI</v>
          </cell>
          <cell r="D39" t="str">
            <v>KHL</v>
          </cell>
          <cell r="E39" t="str">
            <v>CARE</v>
          </cell>
          <cell r="F39">
            <v>1104374</v>
          </cell>
        </row>
        <row r="40">
          <cell r="C40" t="str">
            <v>I KETUT SEPTIANA SAPUTRA</v>
          </cell>
          <cell r="D40" t="str">
            <v>KHT</v>
          </cell>
          <cell r="E40" t="str">
            <v>CARE</v>
          </cell>
          <cell r="F40">
            <v>2325407</v>
          </cell>
        </row>
        <row r="41">
          <cell r="C41" t="str">
            <v>IRFAN MANSYUR</v>
          </cell>
          <cell r="D41" t="str">
            <v>KHL</v>
          </cell>
          <cell r="E41" t="str">
            <v>CARE</v>
          </cell>
          <cell r="F41">
            <v>953500</v>
          </cell>
        </row>
        <row r="42">
          <cell r="C42" t="str">
            <v>Iwan</v>
          </cell>
          <cell r="D42" t="str">
            <v>KHT</v>
          </cell>
          <cell r="E42" t="str">
            <v>CARE</v>
          </cell>
          <cell r="F42">
            <v>1735500</v>
          </cell>
        </row>
        <row r="43">
          <cell r="C43" t="str">
            <v>Jupri</v>
          </cell>
          <cell r="D43" t="str">
            <v>KHT</v>
          </cell>
          <cell r="E43" t="str">
            <v>CARE</v>
          </cell>
          <cell r="F43">
            <v>2787603</v>
          </cell>
        </row>
        <row r="44">
          <cell r="C44" t="str">
            <v>Kadir</v>
          </cell>
          <cell r="D44" t="str">
            <v>KHT</v>
          </cell>
          <cell r="E44" t="str">
            <v>CARE</v>
          </cell>
          <cell r="F44">
            <v>645738</v>
          </cell>
        </row>
        <row r="45">
          <cell r="C45" t="str">
            <v>Kamarudin Ridhani</v>
          </cell>
          <cell r="D45" t="str">
            <v>KHT</v>
          </cell>
          <cell r="E45" t="str">
            <v>CARE</v>
          </cell>
          <cell r="F45">
            <v>1629281</v>
          </cell>
        </row>
        <row r="46">
          <cell r="C46" t="str">
            <v>KAMARULLAH</v>
          </cell>
          <cell r="D46" t="str">
            <v>KHT</v>
          </cell>
          <cell r="E46" t="str">
            <v>CARE</v>
          </cell>
          <cell r="F46">
            <v>521500</v>
          </cell>
        </row>
        <row r="47">
          <cell r="C47" t="str">
            <v>KASIHAN</v>
          </cell>
          <cell r="D47" t="str">
            <v>NON STAFF</v>
          </cell>
          <cell r="E47" t="str">
            <v>CARE</v>
          </cell>
          <cell r="F47">
            <v>178519</v>
          </cell>
        </row>
        <row r="48">
          <cell r="C48" t="str">
            <v>KETUT ARDIANTA</v>
          </cell>
          <cell r="D48" t="str">
            <v>KHL</v>
          </cell>
          <cell r="E48" t="str">
            <v>CARE</v>
          </cell>
          <cell r="F48">
            <v>580440</v>
          </cell>
        </row>
        <row r="49">
          <cell r="C49" t="str">
            <v>KOMANG MURDITA</v>
          </cell>
          <cell r="D49" t="str">
            <v>KHT</v>
          </cell>
          <cell r="E49" t="str">
            <v>CARE</v>
          </cell>
          <cell r="F49">
            <v>120000</v>
          </cell>
        </row>
        <row r="50">
          <cell r="C50" t="str">
            <v>Kuswanto</v>
          </cell>
          <cell r="D50" t="str">
            <v>KHL</v>
          </cell>
          <cell r="E50" t="str">
            <v>CARE</v>
          </cell>
          <cell r="F50">
            <v>600000</v>
          </cell>
        </row>
        <row r="51">
          <cell r="C51" t="str">
            <v>Lanjar</v>
          </cell>
          <cell r="D51" t="str">
            <v>KHT</v>
          </cell>
          <cell r="E51" t="str">
            <v>CARE</v>
          </cell>
          <cell r="F51">
            <v>484656</v>
          </cell>
        </row>
        <row r="52">
          <cell r="C52" t="str">
            <v>LIYA AMELA DENI</v>
          </cell>
          <cell r="D52" t="str">
            <v>KHT</v>
          </cell>
          <cell r="E52" t="str">
            <v>CARE</v>
          </cell>
          <cell r="F52">
            <v>115000</v>
          </cell>
        </row>
        <row r="53">
          <cell r="C53" t="str">
            <v>LUKMANUL HAKIM</v>
          </cell>
          <cell r="D53" t="str">
            <v>KHT</v>
          </cell>
          <cell r="E53" t="str">
            <v>CARE</v>
          </cell>
          <cell r="F53">
            <v>170460</v>
          </cell>
        </row>
        <row r="54">
          <cell r="C54" t="str">
            <v>M Hasanul Rizki</v>
          </cell>
          <cell r="D54" t="str">
            <v>KHL</v>
          </cell>
          <cell r="E54" t="str">
            <v>CARE</v>
          </cell>
          <cell r="F54">
            <v>25000</v>
          </cell>
        </row>
        <row r="55">
          <cell r="C55" t="str">
            <v>M HERI</v>
          </cell>
          <cell r="D55" t="str">
            <v>KHL</v>
          </cell>
          <cell r="E55" t="str">
            <v>CARE</v>
          </cell>
          <cell r="F55">
            <v>1290500</v>
          </cell>
        </row>
        <row r="56">
          <cell r="C56" t="str">
            <v>M JUANDA</v>
          </cell>
          <cell r="D56" t="str">
            <v>KHL</v>
          </cell>
          <cell r="E56" t="str">
            <v>CARE</v>
          </cell>
          <cell r="F56">
            <v>2168500</v>
          </cell>
        </row>
        <row r="57">
          <cell r="C57" t="str">
            <v>M RIDHO DWI ANUGERAH</v>
          </cell>
          <cell r="D57" t="str">
            <v>KHT</v>
          </cell>
          <cell r="E57" t="str">
            <v>CARE</v>
          </cell>
          <cell r="F57">
            <v>705532</v>
          </cell>
        </row>
        <row r="58">
          <cell r="C58" t="str">
            <v>M. FAUZY</v>
          </cell>
          <cell r="D58" t="str">
            <v>NON STAFF</v>
          </cell>
          <cell r="E58" t="str">
            <v>CARE</v>
          </cell>
          <cell r="F58">
            <v>1993433</v>
          </cell>
        </row>
        <row r="59">
          <cell r="C59" t="str">
            <v>M.ZEIN</v>
          </cell>
          <cell r="D59" t="str">
            <v>KHL</v>
          </cell>
          <cell r="E59" t="str">
            <v>CARE</v>
          </cell>
          <cell r="F59">
            <v>989000</v>
          </cell>
        </row>
        <row r="60">
          <cell r="C60" t="str">
            <v>MARJATA</v>
          </cell>
          <cell r="D60" t="str">
            <v>KHL</v>
          </cell>
          <cell r="E60" t="str">
            <v>CARE</v>
          </cell>
          <cell r="F60">
            <v>661727</v>
          </cell>
        </row>
        <row r="61">
          <cell r="C61" t="str">
            <v>Marmin</v>
          </cell>
          <cell r="D61" t="str">
            <v>KHT</v>
          </cell>
          <cell r="E61" t="str">
            <v>CARE</v>
          </cell>
          <cell r="F61">
            <v>793500</v>
          </cell>
        </row>
        <row r="62">
          <cell r="C62" t="str">
            <v>Matius Sugeng Hadi Pramana</v>
          </cell>
          <cell r="D62" t="str">
            <v>KHT</v>
          </cell>
          <cell r="E62" t="str">
            <v>CARE</v>
          </cell>
          <cell r="F62">
            <v>557500</v>
          </cell>
        </row>
        <row r="63">
          <cell r="C63" t="str">
            <v>MISRI</v>
          </cell>
          <cell r="D63" t="str">
            <v>KHT</v>
          </cell>
          <cell r="E63" t="str">
            <v>CARE</v>
          </cell>
          <cell r="F63">
            <v>2154456</v>
          </cell>
        </row>
        <row r="64">
          <cell r="C64" t="str">
            <v>MISRUNI</v>
          </cell>
          <cell r="D64" t="str">
            <v>NON STAFF</v>
          </cell>
          <cell r="E64" t="str">
            <v>CARE</v>
          </cell>
          <cell r="F64">
            <v>1214987</v>
          </cell>
        </row>
        <row r="65">
          <cell r="C65" t="str">
            <v>Muhamad Jefri Wahyudi</v>
          </cell>
          <cell r="D65" t="str">
            <v>KHT</v>
          </cell>
          <cell r="E65" t="str">
            <v>CARE</v>
          </cell>
          <cell r="F65">
            <v>956181</v>
          </cell>
        </row>
        <row r="66">
          <cell r="C66" t="str">
            <v>Muhammad Amri</v>
          </cell>
          <cell r="D66" t="str">
            <v>KHT</v>
          </cell>
          <cell r="E66" t="str">
            <v>CARE</v>
          </cell>
          <cell r="F66">
            <v>1004250</v>
          </cell>
        </row>
        <row r="67">
          <cell r="C67" t="str">
            <v>Muhammad Dardiansyah</v>
          </cell>
          <cell r="D67" t="str">
            <v>NON STAFF</v>
          </cell>
          <cell r="E67" t="str">
            <v>CARE</v>
          </cell>
          <cell r="F67">
            <v>755743</v>
          </cell>
        </row>
        <row r="68">
          <cell r="C68" t="str">
            <v>Muhammad Ghofur</v>
          </cell>
          <cell r="D68" t="str">
            <v>KHT</v>
          </cell>
          <cell r="E68" t="str">
            <v>CARE</v>
          </cell>
          <cell r="F68">
            <v>1234172</v>
          </cell>
        </row>
        <row r="69">
          <cell r="C69" t="str">
            <v>MUHAMMAD HARTONI</v>
          </cell>
          <cell r="D69" t="str">
            <v>NON STAFF</v>
          </cell>
          <cell r="E69" t="str">
            <v>CARE</v>
          </cell>
          <cell r="F69">
            <v>1111550</v>
          </cell>
        </row>
        <row r="70">
          <cell r="C70" t="str">
            <v>Muhammad Jaelani</v>
          </cell>
          <cell r="D70" t="str">
            <v>KHT</v>
          </cell>
          <cell r="E70" t="str">
            <v>CARE</v>
          </cell>
          <cell r="F70">
            <v>473000</v>
          </cell>
        </row>
        <row r="71">
          <cell r="C71" t="str">
            <v>Muhammad Jidan</v>
          </cell>
          <cell r="D71" t="str">
            <v>KHL</v>
          </cell>
          <cell r="E71" t="str">
            <v>CARE</v>
          </cell>
          <cell r="F71">
            <v>1686932</v>
          </cell>
        </row>
        <row r="72">
          <cell r="C72" t="str">
            <v>Muhammad Riswanto</v>
          </cell>
          <cell r="D72" t="str">
            <v>KHT</v>
          </cell>
          <cell r="E72" t="str">
            <v>CARE</v>
          </cell>
          <cell r="F72">
            <v>320300</v>
          </cell>
        </row>
        <row r="73">
          <cell r="C73" t="str">
            <v>MUHASIM</v>
          </cell>
          <cell r="D73" t="str">
            <v>NON STAFF</v>
          </cell>
          <cell r="E73" t="str">
            <v>CARE</v>
          </cell>
          <cell r="F73">
            <v>246759</v>
          </cell>
        </row>
        <row r="74">
          <cell r="C74" t="str">
            <v>MUNAWAR</v>
          </cell>
          <cell r="D74" t="str">
            <v>KHL</v>
          </cell>
          <cell r="E74" t="str">
            <v>CARE</v>
          </cell>
          <cell r="F74">
            <v>2197811</v>
          </cell>
        </row>
        <row r="75">
          <cell r="C75" t="str">
            <v>NANANG SYAIFULLAH</v>
          </cell>
          <cell r="D75" t="str">
            <v>KHT</v>
          </cell>
          <cell r="E75" t="str">
            <v>CARE</v>
          </cell>
          <cell r="F75">
            <v>1273960</v>
          </cell>
        </row>
        <row r="76">
          <cell r="C76" t="str">
            <v>Napoleao Mario Jill</v>
          </cell>
          <cell r="D76" t="str">
            <v>KHT</v>
          </cell>
          <cell r="E76" t="str">
            <v>CARE</v>
          </cell>
          <cell r="F76">
            <v>1160500</v>
          </cell>
        </row>
        <row r="77">
          <cell r="C77" t="str">
            <v>NUR RAHMAN JAYA</v>
          </cell>
          <cell r="D77" t="str">
            <v>NON STAFF</v>
          </cell>
          <cell r="E77" t="str">
            <v>CARE</v>
          </cell>
          <cell r="F77">
            <v>116000</v>
          </cell>
        </row>
        <row r="78">
          <cell r="C78" t="str">
            <v>Panuwun</v>
          </cell>
          <cell r="D78" t="str">
            <v>KHT</v>
          </cell>
          <cell r="E78" t="str">
            <v>CARE</v>
          </cell>
          <cell r="F78">
            <v>2124300</v>
          </cell>
        </row>
        <row r="79">
          <cell r="C79" t="str">
            <v>PARWATI</v>
          </cell>
          <cell r="D79" t="str">
            <v>KHT</v>
          </cell>
          <cell r="E79" t="str">
            <v>CARE</v>
          </cell>
          <cell r="F79">
            <v>162000</v>
          </cell>
        </row>
        <row r="80">
          <cell r="C80" t="str">
            <v>PRAMUDYA SHANDY</v>
          </cell>
          <cell r="D80" t="str">
            <v>KHT</v>
          </cell>
          <cell r="E80" t="str">
            <v>CARE</v>
          </cell>
          <cell r="F80">
            <v>1024750</v>
          </cell>
        </row>
        <row r="81">
          <cell r="C81" t="str">
            <v>Rafi i</v>
          </cell>
          <cell r="D81" t="str">
            <v>KHT</v>
          </cell>
          <cell r="E81" t="str">
            <v>CARE</v>
          </cell>
          <cell r="F81">
            <v>176500</v>
          </cell>
        </row>
        <row r="82">
          <cell r="C82" t="str">
            <v>RAHMAT SALEH</v>
          </cell>
          <cell r="D82" t="str">
            <v>KHT</v>
          </cell>
          <cell r="E82" t="str">
            <v>CARE</v>
          </cell>
          <cell r="F82">
            <v>656200</v>
          </cell>
        </row>
        <row r="83">
          <cell r="C83" t="str">
            <v>RAMLI</v>
          </cell>
          <cell r="D83" t="str">
            <v>KHL</v>
          </cell>
          <cell r="E83" t="str">
            <v>CARE</v>
          </cell>
          <cell r="F83">
            <v>515750</v>
          </cell>
        </row>
        <row r="84">
          <cell r="C84" t="str">
            <v>RANGGA KURNIAWAN</v>
          </cell>
          <cell r="D84" t="str">
            <v>KHT</v>
          </cell>
          <cell r="E84" t="str">
            <v>CARE</v>
          </cell>
          <cell r="F84">
            <v>1297114</v>
          </cell>
        </row>
        <row r="85">
          <cell r="C85" t="str">
            <v>RISKA MASLIANI</v>
          </cell>
          <cell r="D85" t="str">
            <v>NON STAFF</v>
          </cell>
          <cell r="E85" t="str">
            <v>CARE</v>
          </cell>
          <cell r="F85">
            <v>11500</v>
          </cell>
        </row>
        <row r="86">
          <cell r="C86" t="str">
            <v>RONI</v>
          </cell>
          <cell r="D86" t="str">
            <v>KHL</v>
          </cell>
          <cell r="E86" t="str">
            <v>CARE</v>
          </cell>
          <cell r="F86">
            <v>692197</v>
          </cell>
        </row>
        <row r="87">
          <cell r="C87" t="str">
            <v>RUDIANSYAH</v>
          </cell>
          <cell r="D87" t="str">
            <v>KHT</v>
          </cell>
          <cell r="E87" t="str">
            <v>CARE</v>
          </cell>
          <cell r="F87">
            <v>936000</v>
          </cell>
        </row>
        <row r="88">
          <cell r="C88" t="str">
            <v>RUSALAM</v>
          </cell>
          <cell r="D88" t="str">
            <v>KHT</v>
          </cell>
          <cell r="E88" t="str">
            <v>CARE</v>
          </cell>
          <cell r="F88">
            <v>599000</v>
          </cell>
        </row>
        <row r="89">
          <cell r="C89" t="str">
            <v>Ruslan</v>
          </cell>
          <cell r="D89" t="str">
            <v>KHT</v>
          </cell>
          <cell r="E89" t="str">
            <v>CARE</v>
          </cell>
          <cell r="F89">
            <v>2433522</v>
          </cell>
        </row>
        <row r="90">
          <cell r="C90" t="str">
            <v>Rusli</v>
          </cell>
          <cell r="D90" t="str">
            <v>KHT</v>
          </cell>
          <cell r="E90" t="str">
            <v>CARE</v>
          </cell>
          <cell r="F90">
            <v>2007000</v>
          </cell>
        </row>
        <row r="91">
          <cell r="C91" t="str">
            <v>RUSMADI</v>
          </cell>
          <cell r="D91" t="str">
            <v>NON STAFF</v>
          </cell>
          <cell r="E91" t="str">
            <v>CARE</v>
          </cell>
          <cell r="F91">
            <v>942178</v>
          </cell>
        </row>
        <row r="92">
          <cell r="C92" t="str">
            <v>Saharani</v>
          </cell>
          <cell r="D92" t="str">
            <v>KHT</v>
          </cell>
          <cell r="E92" t="str">
            <v>CARE</v>
          </cell>
          <cell r="F92">
            <v>495000</v>
          </cell>
        </row>
        <row r="93">
          <cell r="C93" t="str">
            <v>Sahnan</v>
          </cell>
          <cell r="D93" t="str">
            <v>KHT</v>
          </cell>
          <cell r="E93" t="str">
            <v>CARE</v>
          </cell>
          <cell r="F93">
            <v>456500</v>
          </cell>
        </row>
        <row r="94">
          <cell r="C94" t="str">
            <v>Sapri</v>
          </cell>
          <cell r="D94" t="str">
            <v>KHT</v>
          </cell>
          <cell r="E94" t="str">
            <v>CARE</v>
          </cell>
          <cell r="F94">
            <v>868500</v>
          </cell>
        </row>
        <row r="95">
          <cell r="C95" t="str">
            <v>Sarkim</v>
          </cell>
          <cell r="D95" t="str">
            <v>KHT</v>
          </cell>
          <cell r="E95" t="str">
            <v>CARE</v>
          </cell>
          <cell r="F95">
            <v>865000</v>
          </cell>
        </row>
        <row r="96">
          <cell r="C96" t="str">
            <v>SATRIA WIBOWO HADI PUTRA</v>
          </cell>
          <cell r="D96" t="str">
            <v>KHT</v>
          </cell>
          <cell r="E96" t="str">
            <v>CARE</v>
          </cell>
          <cell r="F96">
            <v>346000</v>
          </cell>
        </row>
        <row r="97">
          <cell r="C97" t="str">
            <v>SOLEMAN</v>
          </cell>
          <cell r="D97" t="str">
            <v>KHT</v>
          </cell>
          <cell r="E97" t="str">
            <v>CARE</v>
          </cell>
          <cell r="F97">
            <v>1367850</v>
          </cell>
        </row>
        <row r="98">
          <cell r="C98" t="str">
            <v>Subandi</v>
          </cell>
          <cell r="D98" t="str">
            <v>KHT</v>
          </cell>
          <cell r="E98" t="str">
            <v>CARE</v>
          </cell>
          <cell r="F98">
            <v>1688291</v>
          </cell>
        </row>
        <row r="99">
          <cell r="C99" t="str">
            <v>Suhaili</v>
          </cell>
          <cell r="D99" t="str">
            <v>KHT</v>
          </cell>
          <cell r="E99" t="str">
            <v>CARE</v>
          </cell>
          <cell r="F99">
            <v>598500</v>
          </cell>
        </row>
        <row r="100">
          <cell r="C100" t="str">
            <v>SUMAR</v>
          </cell>
          <cell r="D100" t="str">
            <v>NON STAFF</v>
          </cell>
          <cell r="E100" t="str">
            <v>CARE</v>
          </cell>
          <cell r="F100">
            <v>1706222</v>
          </cell>
        </row>
        <row r="101">
          <cell r="C101" t="str">
            <v>SUNYOTO</v>
          </cell>
          <cell r="D101" t="str">
            <v>NON STAFF</v>
          </cell>
          <cell r="E101" t="str">
            <v>CARE</v>
          </cell>
          <cell r="F101">
            <v>1326347</v>
          </cell>
        </row>
        <row r="102">
          <cell r="C102" t="str">
            <v>SUPRIYANTO</v>
          </cell>
          <cell r="D102" t="str">
            <v>NON STAFF</v>
          </cell>
          <cell r="E102" t="str">
            <v>CARE</v>
          </cell>
          <cell r="F102">
            <v>387440</v>
          </cell>
        </row>
        <row r="103">
          <cell r="C103" t="str">
            <v>SURHANI</v>
          </cell>
          <cell r="D103" t="str">
            <v>KHT</v>
          </cell>
          <cell r="E103" t="str">
            <v>CARE</v>
          </cell>
          <cell r="F103">
            <v>575000</v>
          </cell>
        </row>
        <row r="104">
          <cell r="C104" t="str">
            <v>SURYA MANDAU</v>
          </cell>
          <cell r="D104" t="str">
            <v>KHL</v>
          </cell>
          <cell r="E104" t="str">
            <v>CARE</v>
          </cell>
          <cell r="F104">
            <v>1189593</v>
          </cell>
        </row>
        <row r="105">
          <cell r="C105" t="str">
            <v>Suryani</v>
          </cell>
          <cell r="D105" t="str">
            <v>NON STAFF</v>
          </cell>
          <cell r="E105" t="str">
            <v>CARE</v>
          </cell>
          <cell r="F105">
            <v>1806777</v>
          </cell>
        </row>
        <row r="106">
          <cell r="C106" t="str">
            <v>Suyatno</v>
          </cell>
          <cell r="D106" t="str">
            <v>KHT</v>
          </cell>
          <cell r="E106" t="str">
            <v>CARE</v>
          </cell>
          <cell r="F106">
            <v>384500</v>
          </cell>
        </row>
        <row r="107">
          <cell r="C107" t="str">
            <v>WAHYU</v>
          </cell>
          <cell r="D107" t="str">
            <v>KHT</v>
          </cell>
          <cell r="E107" t="str">
            <v>CARE</v>
          </cell>
          <cell r="F107">
            <v>827470</v>
          </cell>
        </row>
        <row r="108">
          <cell r="C108" t="str">
            <v>WALUYO</v>
          </cell>
          <cell r="D108" t="str">
            <v>NON STAFF</v>
          </cell>
          <cell r="E108" t="str">
            <v>CARE</v>
          </cell>
          <cell r="F108">
            <v>1025628</v>
          </cell>
        </row>
        <row r="109">
          <cell r="C109" t="str">
            <v>WAWAN SAPUTRA</v>
          </cell>
          <cell r="D109" t="str">
            <v>KHT</v>
          </cell>
          <cell r="E109" t="str">
            <v>CARE</v>
          </cell>
          <cell r="F109">
            <v>444000</v>
          </cell>
        </row>
        <row r="110">
          <cell r="C110" t="str">
            <v>Wijianto</v>
          </cell>
          <cell r="D110" t="str">
            <v>KHT</v>
          </cell>
          <cell r="E110" t="str">
            <v>CARE</v>
          </cell>
          <cell r="F110">
            <v>583800</v>
          </cell>
        </row>
        <row r="111">
          <cell r="C111" t="str">
            <v>YOHANES FERNANDES MALI</v>
          </cell>
          <cell r="D111" t="str">
            <v>KHL</v>
          </cell>
          <cell r="E111" t="str">
            <v>CARE</v>
          </cell>
          <cell r="F111">
            <v>992020</v>
          </cell>
        </row>
        <row r="112">
          <cell r="C112" t="str">
            <v>Yohanes Kasse</v>
          </cell>
          <cell r="D112" t="str">
            <v>KHL</v>
          </cell>
          <cell r="E112" t="str">
            <v>CARE</v>
          </cell>
          <cell r="F112">
            <v>2098000</v>
          </cell>
        </row>
        <row r="113">
          <cell r="C113" t="str">
            <v>YOKO HADIANTO</v>
          </cell>
          <cell r="D113" t="str">
            <v>KHT</v>
          </cell>
          <cell r="E113" t="str">
            <v>CARE</v>
          </cell>
          <cell r="F113">
            <v>523726</v>
          </cell>
        </row>
        <row r="114">
          <cell r="C114" t="str">
            <v>YONGKI AHMAD MARIADI</v>
          </cell>
          <cell r="D114" t="str">
            <v>KHT</v>
          </cell>
          <cell r="E114" t="str">
            <v>CARE</v>
          </cell>
          <cell r="F114">
            <v>364400</v>
          </cell>
        </row>
        <row r="115">
          <cell r="C115" t="str">
            <v>Yorim Nesimnasi</v>
          </cell>
          <cell r="D115" t="str">
            <v>KHT</v>
          </cell>
          <cell r="E115" t="str">
            <v>CARE</v>
          </cell>
          <cell r="F115">
            <v>565000</v>
          </cell>
        </row>
        <row r="116">
          <cell r="C116" t="str">
            <v>Zainal Hakim Noor</v>
          </cell>
          <cell r="D116" t="str">
            <v>NON STAFF</v>
          </cell>
          <cell r="E116" t="str">
            <v>CARE</v>
          </cell>
          <cell r="F116">
            <v>1931300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showGridLines="0" tabSelected="1" workbookViewId="0">
      <selection activeCell="G1" sqref="G1"/>
    </sheetView>
  </sheetViews>
  <sheetFormatPr defaultRowHeight="15" x14ac:dyDescent="0.25"/>
  <cols>
    <col min="1" max="1" width="18.28515625" bestFit="1" customWidth="1"/>
    <col min="2" max="2" width="32.140625" bestFit="1" customWidth="1"/>
    <col min="3" max="3" width="21.5703125" bestFit="1" customWidth="1"/>
    <col min="4" max="4" width="11.85546875" bestFit="1" customWidth="1"/>
    <col min="5" max="5" width="8.42578125" bestFit="1" customWidth="1"/>
    <col min="6" max="6" width="8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f>VLOOKUP(B2,'[1]Laporan_Potongan_ (1)'!$C$6:$F$116,4,0)</f>
        <v>2064370</v>
      </c>
      <c r="G2" s="2" t="s">
        <v>263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>
        <f>VLOOKUP(B3,'[1]Laporan_Potongan_ (1)'!$C$6:$F$116,4,0)</f>
        <v>32380</v>
      </c>
      <c r="G3" s="2" t="s">
        <v>263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10</v>
      </c>
      <c r="E4" s="2" t="s">
        <v>11</v>
      </c>
      <c r="F4" s="2">
        <f>VLOOKUP(B4,'[1]Laporan_Potongan_ (1)'!$C$6:$F$116,4,0)</f>
        <v>1108040</v>
      </c>
      <c r="G4" s="2" t="s">
        <v>263</v>
      </c>
    </row>
    <row r="5" spans="1:7" x14ac:dyDescent="0.25">
      <c r="A5" s="2" t="s">
        <v>20</v>
      </c>
      <c r="B5" s="2" t="s">
        <v>21</v>
      </c>
      <c r="C5" s="2" t="s">
        <v>9</v>
      </c>
      <c r="D5" s="2" t="s">
        <v>10</v>
      </c>
      <c r="E5" s="2" t="s">
        <v>11</v>
      </c>
      <c r="F5" s="2">
        <f>VLOOKUP(B5,'[1]Laporan_Potongan_ (1)'!$C$6:$F$116,4,0)</f>
        <v>760</v>
      </c>
      <c r="G5" s="2" t="s">
        <v>263</v>
      </c>
    </row>
    <row r="6" spans="1:7" x14ac:dyDescent="0.25">
      <c r="A6" s="2" t="s">
        <v>22</v>
      </c>
      <c r="B6" s="2" t="s">
        <v>23</v>
      </c>
      <c r="C6" s="2" t="s">
        <v>9</v>
      </c>
      <c r="D6" s="2" t="s">
        <v>10</v>
      </c>
      <c r="E6" s="2" t="s">
        <v>11</v>
      </c>
      <c r="F6" s="2">
        <f>VLOOKUP(B6,'[1]Laporan_Potongan_ (1)'!$C$6:$F$116,4,0)</f>
        <v>722200</v>
      </c>
      <c r="G6" s="2" t="s">
        <v>263</v>
      </c>
    </row>
    <row r="7" spans="1:7" x14ac:dyDescent="0.25">
      <c r="A7" s="2" t="s">
        <v>24</v>
      </c>
      <c r="B7" s="2" t="s">
        <v>25</v>
      </c>
      <c r="C7" s="2" t="s">
        <v>26</v>
      </c>
      <c r="D7" s="2" t="s">
        <v>10</v>
      </c>
      <c r="E7" s="2" t="s">
        <v>11</v>
      </c>
      <c r="F7" s="2">
        <f>VLOOKUP(B7,'[1]Laporan_Potongan_ (1)'!$C$6:$F$116,4,0)</f>
        <v>3338014</v>
      </c>
      <c r="G7" s="2" t="s">
        <v>263</v>
      </c>
    </row>
    <row r="8" spans="1:7" x14ac:dyDescent="0.25">
      <c r="A8" s="2" t="s">
        <v>27</v>
      </c>
      <c r="B8" s="2" t="s">
        <v>28</v>
      </c>
      <c r="C8" s="2" t="s">
        <v>9</v>
      </c>
      <c r="D8" s="2" t="s">
        <v>10</v>
      </c>
      <c r="E8" s="2" t="s">
        <v>11</v>
      </c>
      <c r="F8" s="2">
        <f>VLOOKUP(B8,'[1]Laporan_Potongan_ (1)'!$C$6:$F$116,4,0)</f>
        <v>60500</v>
      </c>
      <c r="G8" s="2" t="s">
        <v>263</v>
      </c>
    </row>
    <row r="9" spans="1:7" x14ac:dyDescent="0.25">
      <c r="A9" s="2" t="s">
        <v>29</v>
      </c>
      <c r="B9" s="2" t="s">
        <v>30</v>
      </c>
      <c r="C9" s="2" t="s">
        <v>31</v>
      </c>
      <c r="D9" s="2" t="s">
        <v>10</v>
      </c>
      <c r="E9" s="2" t="s">
        <v>11</v>
      </c>
      <c r="F9" s="2">
        <f>VLOOKUP(B9,'[1]Laporan_Potongan_ (1)'!$C$6:$F$116,4,0)</f>
        <v>591654</v>
      </c>
      <c r="G9" s="2" t="s">
        <v>263</v>
      </c>
    </row>
    <row r="10" spans="1:7" x14ac:dyDescent="0.25">
      <c r="A10" s="2" t="s">
        <v>32</v>
      </c>
      <c r="B10" s="2" t="s">
        <v>33</v>
      </c>
      <c r="C10" s="2" t="s">
        <v>34</v>
      </c>
      <c r="D10" s="2" t="s">
        <v>10</v>
      </c>
      <c r="E10" s="2" t="s">
        <v>11</v>
      </c>
      <c r="F10" s="2">
        <f>VLOOKUP(B10,'[1]Laporan_Potongan_ (1)'!$C$6:$F$116,4,0)</f>
        <v>231260</v>
      </c>
      <c r="G10" s="2" t="s">
        <v>263</v>
      </c>
    </row>
    <row r="11" spans="1:7" x14ac:dyDescent="0.25">
      <c r="A11" s="2" t="s">
        <v>35</v>
      </c>
      <c r="B11" s="2" t="s">
        <v>36</v>
      </c>
      <c r="C11" s="2" t="s">
        <v>9</v>
      </c>
      <c r="D11" s="2" t="s">
        <v>10</v>
      </c>
      <c r="E11" s="2" t="s">
        <v>11</v>
      </c>
      <c r="F11" s="2">
        <f>VLOOKUP(B11,'[1]Laporan_Potongan_ (1)'!$C$6:$F$116,4,0)</f>
        <v>2635250</v>
      </c>
      <c r="G11" s="2" t="s">
        <v>263</v>
      </c>
    </row>
    <row r="12" spans="1:7" x14ac:dyDescent="0.25">
      <c r="A12" s="2" t="s">
        <v>37</v>
      </c>
      <c r="B12" s="2" t="s">
        <v>38</v>
      </c>
      <c r="C12" s="2" t="s">
        <v>39</v>
      </c>
      <c r="D12" s="2" t="s">
        <v>10</v>
      </c>
      <c r="E12" s="2" t="s">
        <v>11</v>
      </c>
      <c r="F12" s="2">
        <f>VLOOKUP(B12,'[1]Laporan_Potongan_ (1)'!$C$6:$F$116,4,0)</f>
        <v>2064394</v>
      </c>
      <c r="G12" s="2" t="s">
        <v>263</v>
      </c>
    </row>
    <row r="13" spans="1:7" x14ac:dyDescent="0.25">
      <c r="A13" s="2" t="s">
        <v>40</v>
      </c>
      <c r="B13" s="2" t="s">
        <v>41</v>
      </c>
      <c r="C13" s="2" t="s">
        <v>9</v>
      </c>
      <c r="D13" s="2" t="s">
        <v>10</v>
      </c>
      <c r="E13" s="2" t="s">
        <v>11</v>
      </c>
      <c r="F13" s="2">
        <f>VLOOKUP(B13,'[1]Laporan_Potongan_ (1)'!$C$6:$F$116,4,0)</f>
        <v>1006375</v>
      </c>
      <c r="G13" s="2" t="s">
        <v>263</v>
      </c>
    </row>
    <row r="14" spans="1:7" x14ac:dyDescent="0.25">
      <c r="A14" s="2" t="s">
        <v>42</v>
      </c>
      <c r="B14" s="2" t="s">
        <v>43</v>
      </c>
      <c r="C14" s="2" t="s">
        <v>9</v>
      </c>
      <c r="D14" s="2" t="s">
        <v>10</v>
      </c>
      <c r="E14" s="2" t="s">
        <v>11</v>
      </c>
      <c r="F14" s="2">
        <f>VLOOKUP(B14,'[1]Laporan_Potongan_ (1)'!$C$6:$F$116,4,0)</f>
        <v>945000</v>
      </c>
      <c r="G14" s="2" t="s">
        <v>263</v>
      </c>
    </row>
    <row r="15" spans="1:7" x14ac:dyDescent="0.25">
      <c r="A15" s="2" t="s">
        <v>44</v>
      </c>
      <c r="B15" s="2" t="s">
        <v>45</v>
      </c>
      <c r="C15" s="2" t="s">
        <v>46</v>
      </c>
      <c r="D15" s="2" t="s">
        <v>10</v>
      </c>
      <c r="E15" s="2" t="s">
        <v>11</v>
      </c>
      <c r="F15" s="2">
        <f>VLOOKUP(B15,'[1]Laporan_Potongan_ (1)'!$C$6:$F$116,4,0)</f>
        <v>315000</v>
      </c>
      <c r="G15" s="2" t="s">
        <v>263</v>
      </c>
    </row>
    <row r="16" spans="1:7" x14ac:dyDescent="0.25">
      <c r="A16" s="2" t="s">
        <v>47</v>
      </c>
      <c r="B16" s="2" t="s">
        <v>48</v>
      </c>
      <c r="C16" s="2" t="s">
        <v>9</v>
      </c>
      <c r="D16" s="2" t="s">
        <v>10</v>
      </c>
      <c r="E16" s="2" t="s">
        <v>11</v>
      </c>
      <c r="F16" s="2">
        <f>VLOOKUP(B16,'[1]Laporan_Potongan_ (1)'!$C$6:$F$116,4,0)</f>
        <v>1512000</v>
      </c>
      <c r="G16" s="2" t="s">
        <v>263</v>
      </c>
    </row>
    <row r="17" spans="1:7" x14ac:dyDescent="0.25">
      <c r="A17" s="2" t="s">
        <v>49</v>
      </c>
      <c r="B17" s="2" t="s">
        <v>50</v>
      </c>
      <c r="C17" s="2" t="s">
        <v>9</v>
      </c>
      <c r="D17" s="2" t="s">
        <v>10</v>
      </c>
      <c r="E17" s="2" t="s">
        <v>11</v>
      </c>
      <c r="F17" s="2">
        <f>VLOOKUP(B17,'[1]Laporan_Potongan_ (1)'!$C$6:$F$116,4,0)</f>
        <v>1503125</v>
      </c>
      <c r="G17" s="2" t="s">
        <v>263</v>
      </c>
    </row>
    <row r="18" spans="1:7" x14ac:dyDescent="0.25">
      <c r="A18" s="2" t="s">
        <v>51</v>
      </c>
      <c r="B18" s="2" t="s">
        <v>52</v>
      </c>
      <c r="C18" s="2" t="s">
        <v>53</v>
      </c>
      <c r="D18" s="2" t="s">
        <v>10</v>
      </c>
      <c r="E18" s="2" t="s">
        <v>11</v>
      </c>
      <c r="F18" s="2">
        <f>VLOOKUP(B18,'[1]Laporan_Potongan_ (1)'!$C$6:$F$116,4,0)</f>
        <v>385000</v>
      </c>
      <c r="G18" s="2" t="s">
        <v>263</v>
      </c>
    </row>
    <row r="19" spans="1:7" x14ac:dyDescent="0.25">
      <c r="A19" s="2" t="s">
        <v>54</v>
      </c>
      <c r="B19" s="2" t="s">
        <v>55</v>
      </c>
      <c r="C19" s="2" t="s">
        <v>39</v>
      </c>
      <c r="D19" s="2" t="s">
        <v>10</v>
      </c>
      <c r="E19" s="2" t="s">
        <v>11</v>
      </c>
      <c r="F19" s="2">
        <f>VLOOKUP(B19,'[1]Laporan_Potongan_ (1)'!$C$6:$F$116,4,0)</f>
        <v>951306</v>
      </c>
      <c r="G19" s="2" t="s">
        <v>263</v>
      </c>
    </row>
    <row r="20" spans="1:7" x14ac:dyDescent="0.25">
      <c r="A20" s="2" t="s">
        <v>56</v>
      </c>
      <c r="B20" s="2" t="s">
        <v>57</v>
      </c>
      <c r="C20" s="2" t="s">
        <v>17</v>
      </c>
      <c r="D20" s="2" t="s">
        <v>10</v>
      </c>
      <c r="E20" s="2" t="s">
        <v>11</v>
      </c>
      <c r="F20" s="2">
        <f>VLOOKUP(B20,'[1]Laporan_Potongan_ (1)'!$C$6:$F$116,4,0)</f>
        <v>1137343</v>
      </c>
      <c r="G20" s="2" t="s">
        <v>263</v>
      </c>
    </row>
    <row r="21" spans="1:7" x14ac:dyDescent="0.25">
      <c r="A21" s="2" t="s">
        <v>58</v>
      </c>
      <c r="B21" s="2" t="s">
        <v>59</v>
      </c>
      <c r="C21" s="2" t="s">
        <v>9</v>
      </c>
      <c r="D21" s="2" t="s">
        <v>10</v>
      </c>
      <c r="E21" s="2" t="s">
        <v>11</v>
      </c>
      <c r="F21" s="2">
        <f>VLOOKUP(B21,'[1]Laporan_Potongan_ (1)'!$C$6:$F$116,4,0)</f>
        <v>1502500</v>
      </c>
      <c r="G21" s="2" t="s">
        <v>263</v>
      </c>
    </row>
    <row r="22" spans="1:7" x14ac:dyDescent="0.25">
      <c r="A22" s="2" t="s">
        <v>61</v>
      </c>
      <c r="B22" s="2" t="s">
        <v>62</v>
      </c>
      <c r="C22" s="2" t="s">
        <v>63</v>
      </c>
      <c r="D22" s="2" t="s">
        <v>10</v>
      </c>
      <c r="E22" s="2" t="s">
        <v>11</v>
      </c>
      <c r="F22" s="2">
        <f>VLOOKUP(B22,'[1]Laporan_Potongan_ (1)'!$C$6:$F$116,4,0)</f>
        <v>245000</v>
      </c>
      <c r="G22" s="2" t="s">
        <v>263</v>
      </c>
    </row>
    <row r="23" spans="1:7" x14ac:dyDescent="0.25">
      <c r="A23" s="2" t="s">
        <v>64</v>
      </c>
      <c r="B23" s="2" t="s">
        <v>65</v>
      </c>
      <c r="C23" s="2" t="s">
        <v>9</v>
      </c>
      <c r="D23" s="2" t="s">
        <v>10</v>
      </c>
      <c r="E23" s="2" t="s">
        <v>11</v>
      </c>
      <c r="F23" s="2">
        <f>VLOOKUP(B23,'[1]Laporan_Potongan_ (1)'!$C$6:$F$116,4,0)</f>
        <v>1084500</v>
      </c>
      <c r="G23" s="2" t="s">
        <v>263</v>
      </c>
    </row>
    <row r="24" spans="1:7" x14ac:dyDescent="0.25">
      <c r="A24" s="2" t="s">
        <v>66</v>
      </c>
      <c r="B24" s="2" t="s">
        <v>67</v>
      </c>
      <c r="C24" s="2" t="s">
        <v>9</v>
      </c>
      <c r="D24" s="2" t="s">
        <v>10</v>
      </c>
      <c r="E24" s="2" t="s">
        <v>11</v>
      </c>
      <c r="F24" s="2">
        <f>VLOOKUP(B24,'[1]Laporan_Potongan_ (1)'!$C$6:$F$116,4,0)</f>
        <v>393000</v>
      </c>
      <c r="G24" s="2" t="s">
        <v>263</v>
      </c>
    </row>
    <row r="25" spans="1:7" x14ac:dyDescent="0.25">
      <c r="A25" s="2" t="s">
        <v>68</v>
      </c>
      <c r="B25" s="2" t="s">
        <v>69</v>
      </c>
      <c r="C25" s="2" t="s">
        <v>31</v>
      </c>
      <c r="D25" s="2" t="s">
        <v>10</v>
      </c>
      <c r="E25" s="2" t="s">
        <v>11</v>
      </c>
      <c r="F25" s="2">
        <f>VLOOKUP(B25,'[1]Laporan_Potongan_ (1)'!$C$6:$F$116,4,0)</f>
        <v>2191816</v>
      </c>
      <c r="G25" s="2" t="s">
        <v>263</v>
      </c>
    </row>
    <row r="26" spans="1:7" x14ac:dyDescent="0.25">
      <c r="A26" s="2" t="s">
        <v>70</v>
      </c>
      <c r="B26" s="2" t="s">
        <v>71</v>
      </c>
      <c r="C26" s="2" t="s">
        <v>39</v>
      </c>
      <c r="D26" s="2" t="s">
        <v>10</v>
      </c>
      <c r="E26" s="2" t="s">
        <v>11</v>
      </c>
      <c r="F26" s="2">
        <f>VLOOKUP(B26,'[1]Laporan_Potongan_ (1)'!$C$6:$F$116,4,0)</f>
        <v>1441042</v>
      </c>
      <c r="G26" s="2" t="s">
        <v>263</v>
      </c>
    </row>
    <row r="27" spans="1:7" x14ac:dyDescent="0.25">
      <c r="A27" s="2" t="s">
        <v>72</v>
      </c>
      <c r="B27" s="2" t="s">
        <v>73</v>
      </c>
      <c r="C27" s="2" t="s">
        <v>17</v>
      </c>
      <c r="D27" s="2" t="s">
        <v>10</v>
      </c>
      <c r="E27" s="2" t="s">
        <v>11</v>
      </c>
      <c r="F27" s="2">
        <f>VLOOKUP(B27,'[1]Laporan_Potongan_ (1)'!$C$6:$F$116,4,0)</f>
        <v>1137062</v>
      </c>
      <c r="G27" s="2" t="s">
        <v>263</v>
      </c>
    </row>
    <row r="28" spans="1:7" x14ac:dyDescent="0.25">
      <c r="A28" s="2" t="s">
        <v>74</v>
      </c>
      <c r="B28" s="2" t="s">
        <v>75</v>
      </c>
      <c r="C28" s="2" t="s">
        <v>31</v>
      </c>
      <c r="D28" s="2" t="s">
        <v>10</v>
      </c>
      <c r="E28" s="2" t="s">
        <v>11</v>
      </c>
      <c r="F28" s="2">
        <f>VLOOKUP(B28,'[1]Laporan_Potongan_ (1)'!$C$6:$F$116,4,0)</f>
        <v>2191816</v>
      </c>
      <c r="G28" s="2" t="s">
        <v>263</v>
      </c>
    </row>
    <row r="29" spans="1:7" x14ac:dyDescent="0.25">
      <c r="A29" s="2" t="s">
        <v>76</v>
      </c>
      <c r="B29" s="2" t="s">
        <v>77</v>
      </c>
      <c r="C29" s="2" t="s">
        <v>78</v>
      </c>
      <c r="D29" s="2" t="s">
        <v>10</v>
      </c>
      <c r="E29" s="2" t="s">
        <v>11</v>
      </c>
      <c r="F29" s="2">
        <f>VLOOKUP(B29,'[1]Laporan_Potongan_ (1)'!$C$6:$F$116,4,0)</f>
        <v>2191816</v>
      </c>
      <c r="G29" s="2" t="s">
        <v>263</v>
      </c>
    </row>
    <row r="30" spans="1:7" x14ac:dyDescent="0.25">
      <c r="A30" s="2" t="s">
        <v>79</v>
      </c>
      <c r="B30" s="2" t="s">
        <v>80</v>
      </c>
      <c r="C30" s="2" t="s">
        <v>81</v>
      </c>
      <c r="D30" s="2" t="s">
        <v>10</v>
      </c>
      <c r="E30" s="2" t="s">
        <v>11</v>
      </c>
      <c r="F30" s="2">
        <f>VLOOKUP(B30,'[1]Laporan_Potongan_ (1)'!$C$6:$F$116,4,0)</f>
        <v>737500</v>
      </c>
      <c r="G30" s="2" t="s">
        <v>263</v>
      </c>
    </row>
    <row r="31" spans="1:7" x14ac:dyDescent="0.25">
      <c r="A31" s="2" t="s">
        <v>82</v>
      </c>
      <c r="B31" s="2" t="s">
        <v>83</v>
      </c>
      <c r="C31" s="2" t="s">
        <v>9</v>
      </c>
      <c r="D31" s="2" t="s">
        <v>10</v>
      </c>
      <c r="E31" s="2" t="s">
        <v>11</v>
      </c>
      <c r="F31" s="2">
        <f>VLOOKUP(B31,'[1]Laporan_Potongan_ (1)'!$C$6:$F$116,4,0)</f>
        <v>2719034</v>
      </c>
      <c r="G31" s="2" t="s">
        <v>263</v>
      </c>
    </row>
    <row r="32" spans="1:7" x14ac:dyDescent="0.25">
      <c r="A32" s="2" t="s">
        <v>85</v>
      </c>
      <c r="B32" s="2" t="s">
        <v>86</v>
      </c>
      <c r="C32" s="2" t="s">
        <v>17</v>
      </c>
      <c r="D32" s="2" t="s">
        <v>10</v>
      </c>
      <c r="E32" s="2" t="s">
        <v>11</v>
      </c>
      <c r="F32" s="2">
        <f>VLOOKUP(B32,'[1]Laporan_Potongan_ (1)'!$C$6:$F$116,4,0)</f>
        <v>907557</v>
      </c>
      <c r="G32" s="2" t="s">
        <v>263</v>
      </c>
    </row>
    <row r="33" spans="1:7" x14ac:dyDescent="0.25">
      <c r="A33" s="2" t="s">
        <v>87</v>
      </c>
      <c r="B33" s="2" t="s">
        <v>88</v>
      </c>
      <c r="C33" s="2" t="s">
        <v>9</v>
      </c>
      <c r="D33" s="2" t="s">
        <v>10</v>
      </c>
      <c r="E33" s="2" t="s">
        <v>11</v>
      </c>
      <c r="F33" s="2">
        <f>VLOOKUP(B33,'[1]Laporan_Potongan_ (1)'!$C$6:$F$116,4,0)</f>
        <v>237000</v>
      </c>
      <c r="G33" s="2" t="s">
        <v>263</v>
      </c>
    </row>
    <row r="34" spans="1:7" x14ac:dyDescent="0.25">
      <c r="A34" s="2" t="s">
        <v>89</v>
      </c>
      <c r="B34" s="2" t="s">
        <v>90</v>
      </c>
      <c r="C34" s="2" t="s">
        <v>12</v>
      </c>
      <c r="D34" s="2" t="s">
        <v>10</v>
      </c>
      <c r="E34" s="2" t="s">
        <v>11</v>
      </c>
      <c r="F34" s="2">
        <f>VLOOKUP(B34,'[1]Laporan_Potongan_ (1)'!$C$6:$F$116,4,0)</f>
        <v>269500</v>
      </c>
      <c r="G34" s="2" t="s">
        <v>263</v>
      </c>
    </row>
    <row r="35" spans="1:7" x14ac:dyDescent="0.25">
      <c r="A35" s="2" t="s">
        <v>91</v>
      </c>
      <c r="B35" s="2" t="s">
        <v>92</v>
      </c>
      <c r="C35" s="2" t="s">
        <v>93</v>
      </c>
      <c r="D35" s="2" t="s">
        <v>10</v>
      </c>
      <c r="E35" s="2" t="s">
        <v>11</v>
      </c>
      <c r="F35" s="2">
        <f>VLOOKUP(B35,'[1]Laporan_Potongan_ (1)'!$C$6:$F$116,4,0)</f>
        <v>1756250</v>
      </c>
      <c r="G35" s="2" t="s">
        <v>263</v>
      </c>
    </row>
    <row r="36" spans="1:7" x14ac:dyDescent="0.25">
      <c r="A36" s="2" t="s">
        <v>94</v>
      </c>
      <c r="B36" s="2" t="s">
        <v>95</v>
      </c>
      <c r="C36" s="2" t="s">
        <v>9</v>
      </c>
      <c r="D36" s="2" t="s">
        <v>10</v>
      </c>
      <c r="E36" s="2" t="s">
        <v>11</v>
      </c>
      <c r="F36" s="2">
        <f>VLOOKUP(B36,'[1]Laporan_Potongan_ (1)'!$C$6:$F$116,4,0)</f>
        <v>1104374</v>
      </c>
      <c r="G36" s="2" t="s">
        <v>263</v>
      </c>
    </row>
    <row r="37" spans="1:7" x14ac:dyDescent="0.25">
      <c r="A37" s="2" t="s">
        <v>96</v>
      </c>
      <c r="B37" s="2" t="s">
        <v>97</v>
      </c>
      <c r="C37" s="2" t="s">
        <v>17</v>
      </c>
      <c r="D37" s="2" t="s">
        <v>10</v>
      </c>
      <c r="E37" s="2" t="s">
        <v>11</v>
      </c>
      <c r="F37" s="2">
        <f>VLOOKUP(B37,'[1]Laporan_Potongan_ (1)'!$C$6:$F$116,4,0)</f>
        <v>2325407</v>
      </c>
      <c r="G37" s="2" t="s">
        <v>263</v>
      </c>
    </row>
    <row r="38" spans="1:7" x14ac:dyDescent="0.25">
      <c r="A38" s="2" t="s">
        <v>98</v>
      </c>
      <c r="B38" s="2" t="s">
        <v>99</v>
      </c>
      <c r="C38" s="2" t="s">
        <v>9</v>
      </c>
      <c r="D38" s="2" t="s">
        <v>10</v>
      </c>
      <c r="E38" s="2" t="s">
        <v>11</v>
      </c>
      <c r="F38" s="2">
        <f>VLOOKUP(B38,'[1]Laporan_Potongan_ (1)'!$C$6:$F$116,4,0)</f>
        <v>953500</v>
      </c>
      <c r="G38" s="2" t="s">
        <v>263</v>
      </c>
    </row>
    <row r="39" spans="1:7" x14ac:dyDescent="0.25">
      <c r="A39" s="2" t="s">
        <v>100</v>
      </c>
      <c r="B39" s="2" t="s">
        <v>101</v>
      </c>
      <c r="C39" s="2" t="s">
        <v>9</v>
      </c>
      <c r="D39" s="2" t="s">
        <v>10</v>
      </c>
      <c r="E39" s="2" t="s">
        <v>11</v>
      </c>
      <c r="F39" s="2">
        <f>VLOOKUP(B39,'[1]Laporan_Potongan_ (1)'!$C$6:$F$116,4,0)</f>
        <v>1735500</v>
      </c>
      <c r="G39" s="2" t="s">
        <v>263</v>
      </c>
    </row>
    <row r="40" spans="1:7" x14ac:dyDescent="0.25">
      <c r="A40" s="2" t="s">
        <v>102</v>
      </c>
      <c r="B40" s="2" t="s">
        <v>103</v>
      </c>
      <c r="C40" s="2" t="s">
        <v>9</v>
      </c>
      <c r="D40" s="2" t="s">
        <v>10</v>
      </c>
      <c r="E40" s="2" t="s">
        <v>11</v>
      </c>
      <c r="F40" s="2">
        <f>VLOOKUP(B40,'[1]Laporan_Potongan_ (1)'!$C$6:$F$116,4,0)</f>
        <v>2787603</v>
      </c>
      <c r="G40" s="2" t="s">
        <v>263</v>
      </c>
    </row>
    <row r="41" spans="1:7" x14ac:dyDescent="0.25">
      <c r="A41" s="2" t="s">
        <v>104</v>
      </c>
      <c r="B41" s="2" t="s">
        <v>105</v>
      </c>
      <c r="C41" s="2" t="s">
        <v>9</v>
      </c>
      <c r="D41" s="2" t="s">
        <v>10</v>
      </c>
      <c r="E41" s="2" t="s">
        <v>11</v>
      </c>
      <c r="F41" s="2">
        <f>VLOOKUP(B41,'[1]Laporan_Potongan_ (1)'!$C$6:$F$116,4,0)</f>
        <v>645738</v>
      </c>
      <c r="G41" s="2" t="s">
        <v>263</v>
      </c>
    </row>
    <row r="42" spans="1:7" x14ac:dyDescent="0.25">
      <c r="A42" s="2" t="s">
        <v>106</v>
      </c>
      <c r="B42" s="2" t="s">
        <v>107</v>
      </c>
      <c r="C42" s="2" t="s">
        <v>46</v>
      </c>
      <c r="D42" s="2" t="s">
        <v>10</v>
      </c>
      <c r="E42" s="2" t="s">
        <v>11</v>
      </c>
      <c r="F42" s="2">
        <f>VLOOKUP(B42,'[1]Laporan_Potongan_ (1)'!$C$6:$F$116,4,0)</f>
        <v>1629281</v>
      </c>
      <c r="G42" s="2" t="s">
        <v>263</v>
      </c>
    </row>
    <row r="43" spans="1:7" x14ac:dyDescent="0.25">
      <c r="A43" s="2" t="s">
        <v>108</v>
      </c>
      <c r="B43" s="2" t="s">
        <v>109</v>
      </c>
      <c r="C43" s="2" t="s">
        <v>9</v>
      </c>
      <c r="D43" s="2" t="s">
        <v>10</v>
      </c>
      <c r="E43" s="2" t="s">
        <v>11</v>
      </c>
      <c r="F43" s="2">
        <f>VLOOKUP(B43,'[1]Laporan_Potongan_ (1)'!$C$6:$F$116,4,0)</f>
        <v>521500</v>
      </c>
      <c r="G43" s="2" t="s">
        <v>263</v>
      </c>
    </row>
    <row r="44" spans="1:7" x14ac:dyDescent="0.25">
      <c r="A44" s="2" t="s">
        <v>110</v>
      </c>
      <c r="B44" s="2" t="s">
        <v>111</v>
      </c>
      <c r="C44" s="2" t="s">
        <v>12</v>
      </c>
      <c r="D44" s="2" t="s">
        <v>10</v>
      </c>
      <c r="E44" s="2" t="s">
        <v>11</v>
      </c>
      <c r="F44" s="2">
        <f>VLOOKUP(B44,'[1]Laporan_Potongan_ (1)'!$C$6:$F$116,4,0)</f>
        <v>178519</v>
      </c>
      <c r="G44" s="2" t="s">
        <v>263</v>
      </c>
    </row>
    <row r="45" spans="1:7" x14ac:dyDescent="0.25">
      <c r="A45" s="2" t="s">
        <v>112</v>
      </c>
      <c r="B45" s="2" t="s">
        <v>113</v>
      </c>
      <c r="C45" s="2" t="s">
        <v>17</v>
      </c>
      <c r="D45" s="2" t="s">
        <v>10</v>
      </c>
      <c r="E45" s="2" t="s">
        <v>11</v>
      </c>
      <c r="F45" s="2">
        <f>VLOOKUP(B45,'[1]Laporan_Potongan_ (1)'!$C$6:$F$116,4,0)</f>
        <v>580440</v>
      </c>
      <c r="G45" s="2" t="s">
        <v>263</v>
      </c>
    </row>
    <row r="46" spans="1:7" x14ac:dyDescent="0.25">
      <c r="A46" s="2" t="s">
        <v>114</v>
      </c>
      <c r="B46" s="2" t="s">
        <v>115</v>
      </c>
      <c r="C46" s="2" t="s">
        <v>17</v>
      </c>
      <c r="D46" s="2" t="s">
        <v>10</v>
      </c>
      <c r="E46" s="2" t="s">
        <v>11</v>
      </c>
      <c r="F46" s="2">
        <f>VLOOKUP(B46,'[1]Laporan_Potongan_ (1)'!$C$6:$F$116,4,0)</f>
        <v>120000</v>
      </c>
      <c r="G46" s="2" t="s">
        <v>263</v>
      </c>
    </row>
    <row r="47" spans="1:7" x14ac:dyDescent="0.25">
      <c r="A47" s="2" t="s">
        <v>116</v>
      </c>
      <c r="B47" s="2" t="s">
        <v>117</v>
      </c>
      <c r="C47" s="2" t="s">
        <v>9</v>
      </c>
      <c r="D47" s="2" t="s">
        <v>10</v>
      </c>
      <c r="E47" s="2" t="s">
        <v>11</v>
      </c>
      <c r="F47" s="2">
        <f>VLOOKUP(B47,'[1]Laporan_Potongan_ (1)'!$C$6:$F$116,4,0)</f>
        <v>600000</v>
      </c>
      <c r="G47" s="2" t="s">
        <v>263</v>
      </c>
    </row>
    <row r="48" spans="1:7" x14ac:dyDescent="0.25">
      <c r="A48" s="2" t="s">
        <v>118</v>
      </c>
      <c r="B48" s="2" t="s">
        <v>119</v>
      </c>
      <c r="C48" s="2" t="s">
        <v>9</v>
      </c>
      <c r="D48" s="2" t="s">
        <v>10</v>
      </c>
      <c r="E48" s="2" t="s">
        <v>11</v>
      </c>
      <c r="F48" s="2">
        <f>VLOOKUP(B48,'[1]Laporan_Potongan_ (1)'!$C$6:$F$116,4,0)</f>
        <v>484656</v>
      </c>
      <c r="G48" s="2" t="s">
        <v>263</v>
      </c>
    </row>
    <row r="49" spans="1:7" x14ac:dyDescent="0.25">
      <c r="A49" s="2" t="s">
        <v>120</v>
      </c>
      <c r="B49" s="2" t="s">
        <v>121</v>
      </c>
      <c r="C49" s="2" t="s">
        <v>122</v>
      </c>
      <c r="D49" s="2" t="s">
        <v>10</v>
      </c>
      <c r="E49" s="2" t="s">
        <v>11</v>
      </c>
      <c r="F49" s="2">
        <f>VLOOKUP(B49,'[1]Laporan_Potongan_ (1)'!$C$6:$F$116,4,0)</f>
        <v>115000</v>
      </c>
      <c r="G49" s="2" t="s">
        <v>263</v>
      </c>
    </row>
    <row r="50" spans="1:7" x14ac:dyDescent="0.25">
      <c r="A50" s="2" t="s">
        <v>123</v>
      </c>
      <c r="B50" s="2" t="s">
        <v>124</v>
      </c>
      <c r="C50" s="2" t="s">
        <v>125</v>
      </c>
      <c r="D50" s="2" t="s">
        <v>10</v>
      </c>
      <c r="E50" s="2" t="s">
        <v>11</v>
      </c>
      <c r="F50" s="2">
        <f>VLOOKUP(B50,'[1]Laporan_Potongan_ (1)'!$C$6:$F$116,4,0)</f>
        <v>170460</v>
      </c>
      <c r="G50" s="2" t="s">
        <v>263</v>
      </c>
    </row>
    <row r="51" spans="1:7" x14ac:dyDescent="0.25">
      <c r="A51" s="2" t="s">
        <v>126</v>
      </c>
      <c r="B51" s="2" t="s">
        <v>127</v>
      </c>
      <c r="C51" s="2" t="s">
        <v>9</v>
      </c>
      <c r="D51" s="2" t="s">
        <v>10</v>
      </c>
      <c r="E51" s="2" t="s">
        <v>11</v>
      </c>
      <c r="F51" s="2">
        <f>VLOOKUP(B51,'[1]Laporan_Potongan_ (1)'!$C$6:$F$116,4,0)</f>
        <v>25000</v>
      </c>
      <c r="G51" s="2" t="s">
        <v>263</v>
      </c>
    </row>
    <row r="52" spans="1:7" x14ac:dyDescent="0.25">
      <c r="A52" s="2" t="s">
        <v>128</v>
      </c>
      <c r="B52" s="2" t="s">
        <v>129</v>
      </c>
      <c r="C52" s="2" t="s">
        <v>9</v>
      </c>
      <c r="D52" s="2" t="s">
        <v>10</v>
      </c>
      <c r="E52" s="2" t="s">
        <v>11</v>
      </c>
      <c r="F52" s="2">
        <f>VLOOKUP(B52,'[1]Laporan_Potongan_ (1)'!$C$6:$F$116,4,0)</f>
        <v>1290500</v>
      </c>
      <c r="G52" s="2" t="s">
        <v>263</v>
      </c>
    </row>
    <row r="53" spans="1:7" x14ac:dyDescent="0.25">
      <c r="A53" s="2" t="s">
        <v>130</v>
      </c>
      <c r="B53" s="2" t="s">
        <v>131</v>
      </c>
      <c r="C53" s="2" t="s">
        <v>132</v>
      </c>
      <c r="D53" s="2" t="s">
        <v>10</v>
      </c>
      <c r="E53" s="2" t="s">
        <v>11</v>
      </c>
      <c r="F53" s="2">
        <f>VLOOKUP(B53,'[1]Laporan_Potongan_ (1)'!$C$6:$F$116,4,0)</f>
        <v>2168500</v>
      </c>
      <c r="G53" s="2" t="s">
        <v>263</v>
      </c>
    </row>
    <row r="54" spans="1:7" x14ac:dyDescent="0.25">
      <c r="A54" s="2" t="s">
        <v>133</v>
      </c>
      <c r="B54" s="2" t="s">
        <v>134</v>
      </c>
      <c r="C54" s="2" t="s">
        <v>17</v>
      </c>
      <c r="D54" s="2" t="s">
        <v>10</v>
      </c>
      <c r="E54" s="2" t="s">
        <v>11</v>
      </c>
      <c r="F54" s="2">
        <f>VLOOKUP(B54,'[1]Laporan_Potongan_ (1)'!$C$6:$F$116,4,0)</f>
        <v>705532</v>
      </c>
      <c r="G54" s="2" t="s">
        <v>263</v>
      </c>
    </row>
    <row r="55" spans="1:7" x14ac:dyDescent="0.25">
      <c r="A55" s="2" t="s">
        <v>135</v>
      </c>
      <c r="B55" s="2" t="s">
        <v>136</v>
      </c>
      <c r="C55" s="2" t="s">
        <v>31</v>
      </c>
      <c r="D55" s="2" t="s">
        <v>10</v>
      </c>
      <c r="E55" s="2" t="s">
        <v>11</v>
      </c>
      <c r="F55" s="2">
        <f>VLOOKUP(B55,'[1]Laporan_Potongan_ (1)'!$C$6:$F$116,4,0)</f>
        <v>1993433</v>
      </c>
      <c r="G55" s="2" t="s">
        <v>263</v>
      </c>
    </row>
    <row r="56" spans="1:7" x14ac:dyDescent="0.25">
      <c r="A56" s="2" t="s">
        <v>137</v>
      </c>
      <c r="B56" s="2" t="s">
        <v>138</v>
      </c>
      <c r="C56" s="2" t="s">
        <v>9</v>
      </c>
      <c r="D56" s="2" t="s">
        <v>10</v>
      </c>
      <c r="E56" s="2" t="s">
        <v>11</v>
      </c>
      <c r="F56" s="2">
        <f>VLOOKUP(B56,'[1]Laporan_Potongan_ (1)'!$C$6:$F$116,4,0)</f>
        <v>989000</v>
      </c>
      <c r="G56" s="2" t="s">
        <v>263</v>
      </c>
    </row>
    <row r="57" spans="1:7" x14ac:dyDescent="0.25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11</v>
      </c>
      <c r="F57" s="2">
        <f>VLOOKUP(B57,'[1]Laporan_Potongan_ (1)'!$C$6:$F$116,4,0)</f>
        <v>661727</v>
      </c>
      <c r="G57" s="2" t="s">
        <v>263</v>
      </c>
    </row>
    <row r="58" spans="1:7" x14ac:dyDescent="0.25">
      <c r="A58" s="2" t="s">
        <v>142</v>
      </c>
      <c r="B58" s="2" t="s">
        <v>143</v>
      </c>
      <c r="C58" s="2" t="s">
        <v>9</v>
      </c>
      <c r="D58" s="2" t="s">
        <v>10</v>
      </c>
      <c r="E58" s="2" t="s">
        <v>11</v>
      </c>
      <c r="F58" s="2">
        <f>VLOOKUP(B58,'[1]Laporan_Potongan_ (1)'!$C$6:$F$116,4,0)</f>
        <v>793500</v>
      </c>
      <c r="G58" s="2" t="s">
        <v>263</v>
      </c>
    </row>
    <row r="59" spans="1:7" x14ac:dyDescent="0.25">
      <c r="A59" s="2" t="s">
        <v>144</v>
      </c>
      <c r="B59" s="2" t="s">
        <v>145</v>
      </c>
      <c r="C59" s="2" t="s">
        <v>146</v>
      </c>
      <c r="D59" s="2" t="s">
        <v>10</v>
      </c>
      <c r="E59" s="2" t="s">
        <v>11</v>
      </c>
      <c r="F59" s="2">
        <f>VLOOKUP(B59,'[1]Laporan_Potongan_ (1)'!$C$6:$F$116,4,0)</f>
        <v>557500</v>
      </c>
      <c r="G59" s="2" t="s">
        <v>263</v>
      </c>
    </row>
    <row r="60" spans="1:7" x14ac:dyDescent="0.25">
      <c r="A60" s="2" t="s">
        <v>147</v>
      </c>
      <c r="B60" s="2" t="s">
        <v>148</v>
      </c>
      <c r="C60" s="2" t="s">
        <v>141</v>
      </c>
      <c r="D60" s="2" t="s">
        <v>10</v>
      </c>
      <c r="E60" s="2" t="s">
        <v>11</v>
      </c>
      <c r="F60" s="2">
        <f>VLOOKUP(B60,'[1]Laporan_Potongan_ (1)'!$C$6:$F$116,4,0)</f>
        <v>2154456</v>
      </c>
      <c r="G60" s="2" t="s">
        <v>263</v>
      </c>
    </row>
    <row r="61" spans="1:7" x14ac:dyDescent="0.25">
      <c r="A61" s="2" t="s">
        <v>149</v>
      </c>
      <c r="B61" s="2" t="s">
        <v>150</v>
      </c>
      <c r="C61" s="2" t="s">
        <v>151</v>
      </c>
      <c r="D61" s="2" t="s">
        <v>10</v>
      </c>
      <c r="E61" s="2" t="s">
        <v>11</v>
      </c>
      <c r="F61" s="2">
        <f>VLOOKUP(B61,'[1]Laporan_Potongan_ (1)'!$C$6:$F$116,4,0)</f>
        <v>1214987</v>
      </c>
      <c r="G61" s="2" t="s">
        <v>263</v>
      </c>
    </row>
    <row r="62" spans="1:7" x14ac:dyDescent="0.25">
      <c r="A62" s="2" t="s">
        <v>152</v>
      </c>
      <c r="B62" s="2" t="s">
        <v>153</v>
      </c>
      <c r="C62" s="2" t="s">
        <v>17</v>
      </c>
      <c r="D62" s="2" t="s">
        <v>10</v>
      </c>
      <c r="E62" s="2" t="s">
        <v>11</v>
      </c>
      <c r="F62" s="2">
        <f>VLOOKUP(B62,'[1]Laporan_Potongan_ (1)'!$C$6:$F$116,4,0)</f>
        <v>956181</v>
      </c>
      <c r="G62" s="2" t="s">
        <v>263</v>
      </c>
    </row>
    <row r="63" spans="1:7" x14ac:dyDescent="0.25">
      <c r="A63" s="2" t="s">
        <v>154</v>
      </c>
      <c r="B63" s="2" t="s">
        <v>155</v>
      </c>
      <c r="C63" s="2" t="s">
        <v>9</v>
      </c>
      <c r="D63" s="2" t="s">
        <v>10</v>
      </c>
      <c r="E63" s="2" t="s">
        <v>11</v>
      </c>
      <c r="F63" s="2">
        <f>VLOOKUP(B63,'[1]Laporan_Potongan_ (1)'!$C$6:$F$116,4,0)</f>
        <v>1004250</v>
      </c>
      <c r="G63" s="2" t="s">
        <v>263</v>
      </c>
    </row>
    <row r="64" spans="1:7" x14ac:dyDescent="0.25">
      <c r="A64" s="2" t="s">
        <v>156</v>
      </c>
      <c r="B64" s="2" t="s">
        <v>157</v>
      </c>
      <c r="C64" s="2" t="s">
        <v>31</v>
      </c>
      <c r="D64" s="2" t="s">
        <v>10</v>
      </c>
      <c r="E64" s="2" t="s">
        <v>11</v>
      </c>
      <c r="F64" s="2">
        <f>VLOOKUP(B64,'[1]Laporan_Potongan_ (1)'!$C$6:$F$116,4,0)</f>
        <v>755743</v>
      </c>
      <c r="G64" s="2" t="s">
        <v>263</v>
      </c>
    </row>
    <row r="65" spans="1:7" x14ac:dyDescent="0.25">
      <c r="A65" s="2" t="s">
        <v>158</v>
      </c>
      <c r="B65" s="2" t="s">
        <v>159</v>
      </c>
      <c r="C65" s="2" t="s">
        <v>9</v>
      </c>
      <c r="D65" s="2" t="s">
        <v>10</v>
      </c>
      <c r="E65" s="2" t="s">
        <v>11</v>
      </c>
      <c r="F65" s="2">
        <f>VLOOKUP(B65,'[1]Laporan_Potongan_ (1)'!$C$6:$F$116,4,0)</f>
        <v>1234172</v>
      </c>
      <c r="G65" s="2" t="s">
        <v>263</v>
      </c>
    </row>
    <row r="66" spans="1:7" x14ac:dyDescent="0.25">
      <c r="A66" s="2" t="s">
        <v>160</v>
      </c>
      <c r="B66" s="2" t="s">
        <v>161</v>
      </c>
      <c r="C66" s="2" t="s">
        <v>39</v>
      </c>
      <c r="D66" s="2" t="s">
        <v>10</v>
      </c>
      <c r="E66" s="2" t="s">
        <v>11</v>
      </c>
      <c r="F66" s="2">
        <f>VLOOKUP(B66,'[1]Laporan_Potongan_ (1)'!$C$6:$F$116,4,0)</f>
        <v>1111550</v>
      </c>
      <c r="G66" s="2" t="s">
        <v>263</v>
      </c>
    </row>
    <row r="67" spans="1:7" x14ac:dyDescent="0.25">
      <c r="A67" s="2" t="s">
        <v>162</v>
      </c>
      <c r="B67" s="2" t="s">
        <v>163</v>
      </c>
      <c r="C67" s="2" t="s">
        <v>9</v>
      </c>
      <c r="D67" s="2" t="s">
        <v>10</v>
      </c>
      <c r="E67" s="2" t="s">
        <v>11</v>
      </c>
      <c r="F67" s="2">
        <f>VLOOKUP(B67,'[1]Laporan_Potongan_ (1)'!$C$6:$F$116,4,0)</f>
        <v>473000</v>
      </c>
      <c r="G67" s="2" t="s">
        <v>263</v>
      </c>
    </row>
    <row r="68" spans="1:7" x14ac:dyDescent="0.25">
      <c r="A68" s="2" t="s">
        <v>164</v>
      </c>
      <c r="B68" s="2" t="s">
        <v>165</v>
      </c>
      <c r="C68" s="2" t="s">
        <v>9</v>
      </c>
      <c r="D68" s="2" t="s">
        <v>10</v>
      </c>
      <c r="E68" s="2" t="s">
        <v>11</v>
      </c>
      <c r="F68" s="2">
        <f>VLOOKUP(B68,'[1]Laporan_Potongan_ (1)'!$C$6:$F$116,4,0)</f>
        <v>1686932</v>
      </c>
      <c r="G68" s="2" t="s">
        <v>263</v>
      </c>
    </row>
    <row r="69" spans="1:7" x14ac:dyDescent="0.25">
      <c r="A69" s="2" t="s">
        <v>166</v>
      </c>
      <c r="B69" s="2" t="s">
        <v>167</v>
      </c>
      <c r="C69" s="2" t="s">
        <v>9</v>
      </c>
      <c r="D69" s="2" t="s">
        <v>10</v>
      </c>
      <c r="E69" s="2" t="s">
        <v>11</v>
      </c>
      <c r="F69" s="2">
        <f>VLOOKUP(B69,'[1]Laporan_Potongan_ (1)'!$C$6:$F$116,4,0)</f>
        <v>320300</v>
      </c>
      <c r="G69" s="2" t="s">
        <v>263</v>
      </c>
    </row>
    <row r="70" spans="1:7" x14ac:dyDescent="0.25">
      <c r="A70" s="2" t="s">
        <v>168</v>
      </c>
      <c r="B70" s="2" t="s">
        <v>169</v>
      </c>
      <c r="C70" s="2" t="s">
        <v>39</v>
      </c>
      <c r="D70" s="2" t="s">
        <v>10</v>
      </c>
      <c r="E70" s="2" t="s">
        <v>11</v>
      </c>
      <c r="F70" s="2">
        <f>VLOOKUP(B70,'[1]Laporan_Potongan_ (1)'!$C$6:$F$116,4,0)</f>
        <v>246759</v>
      </c>
      <c r="G70" s="2" t="s">
        <v>263</v>
      </c>
    </row>
    <row r="71" spans="1:7" x14ac:dyDescent="0.25">
      <c r="A71" s="2" t="s">
        <v>171</v>
      </c>
      <c r="B71" s="2" t="s">
        <v>172</v>
      </c>
      <c r="C71" s="2" t="s">
        <v>173</v>
      </c>
      <c r="D71" s="2" t="s">
        <v>10</v>
      </c>
      <c r="E71" s="2" t="s">
        <v>11</v>
      </c>
      <c r="F71" s="2">
        <f>VLOOKUP(B71,'[1]Laporan_Potongan_ (1)'!$C$6:$F$116,4,0)</f>
        <v>2197811</v>
      </c>
      <c r="G71" s="2" t="s">
        <v>263</v>
      </c>
    </row>
    <row r="72" spans="1:7" x14ac:dyDescent="0.25">
      <c r="A72" s="2" t="s">
        <v>174</v>
      </c>
      <c r="B72" s="2" t="s">
        <v>175</v>
      </c>
      <c r="C72" s="2" t="s">
        <v>13</v>
      </c>
      <c r="D72" s="2" t="s">
        <v>10</v>
      </c>
      <c r="E72" s="2" t="s">
        <v>11</v>
      </c>
      <c r="F72" s="2">
        <f>VLOOKUP(B72,'[1]Laporan_Potongan_ (1)'!$C$6:$F$116,4,0)</f>
        <v>1273960</v>
      </c>
      <c r="G72" s="2" t="s">
        <v>263</v>
      </c>
    </row>
    <row r="73" spans="1:7" x14ac:dyDescent="0.25">
      <c r="A73" s="2" t="s">
        <v>176</v>
      </c>
      <c r="B73" s="2" t="s">
        <v>177</v>
      </c>
      <c r="C73" s="2" t="s">
        <v>9</v>
      </c>
      <c r="D73" s="2" t="s">
        <v>10</v>
      </c>
      <c r="E73" s="2" t="s">
        <v>11</v>
      </c>
      <c r="F73" s="2">
        <f>VLOOKUP(B73,'[1]Laporan_Potongan_ (1)'!$C$6:$F$116,4,0)</f>
        <v>1160500</v>
      </c>
      <c r="G73" s="2" t="s">
        <v>263</v>
      </c>
    </row>
    <row r="74" spans="1:7" x14ac:dyDescent="0.25">
      <c r="A74" s="2" t="s">
        <v>178</v>
      </c>
      <c r="B74" s="2" t="s">
        <v>179</v>
      </c>
      <c r="C74" s="2" t="s">
        <v>17</v>
      </c>
      <c r="D74" s="2" t="s">
        <v>10</v>
      </c>
      <c r="E74" s="2" t="s">
        <v>11</v>
      </c>
      <c r="F74" s="2">
        <f>VLOOKUP(B74,'[1]Laporan_Potongan_ (1)'!$C$6:$F$116,4,0)</f>
        <v>116000</v>
      </c>
      <c r="G74" s="2" t="s">
        <v>263</v>
      </c>
    </row>
    <row r="75" spans="1:7" x14ac:dyDescent="0.25">
      <c r="A75" s="2" t="s">
        <v>180</v>
      </c>
      <c r="B75" s="2" t="s">
        <v>181</v>
      </c>
      <c r="C75" s="2" t="s">
        <v>84</v>
      </c>
      <c r="D75" s="2" t="s">
        <v>10</v>
      </c>
      <c r="E75" s="2" t="s">
        <v>11</v>
      </c>
      <c r="F75" s="2">
        <f>VLOOKUP(B75,'[1]Laporan_Potongan_ (1)'!$C$6:$F$116,4,0)</f>
        <v>2124300</v>
      </c>
      <c r="G75" s="2" t="s">
        <v>263</v>
      </c>
    </row>
    <row r="76" spans="1:7" x14ac:dyDescent="0.25">
      <c r="A76" s="2" t="s">
        <v>182</v>
      </c>
      <c r="B76" s="2" t="s">
        <v>183</v>
      </c>
      <c r="C76" s="2" t="s">
        <v>141</v>
      </c>
      <c r="D76" s="2" t="s">
        <v>10</v>
      </c>
      <c r="E76" s="2" t="s">
        <v>11</v>
      </c>
      <c r="F76" s="2">
        <f>VLOOKUP(B76,'[1]Laporan_Potongan_ (1)'!$C$6:$F$116,4,0)</f>
        <v>162000</v>
      </c>
      <c r="G76" s="2" t="s">
        <v>263</v>
      </c>
    </row>
    <row r="77" spans="1:7" x14ac:dyDescent="0.25">
      <c r="A77" s="2" t="s">
        <v>184</v>
      </c>
      <c r="B77" s="2" t="s">
        <v>185</v>
      </c>
      <c r="C77" s="2" t="s">
        <v>17</v>
      </c>
      <c r="D77" s="2" t="s">
        <v>10</v>
      </c>
      <c r="E77" s="2" t="s">
        <v>11</v>
      </c>
      <c r="F77" s="2">
        <f>VLOOKUP(B77,'[1]Laporan_Potongan_ (1)'!$C$6:$F$116,4,0)</f>
        <v>1024750</v>
      </c>
      <c r="G77" s="2" t="s">
        <v>263</v>
      </c>
    </row>
    <row r="78" spans="1:7" x14ac:dyDescent="0.25">
      <c r="A78" s="2" t="s">
        <v>186</v>
      </c>
      <c r="B78" s="2" t="s">
        <v>187</v>
      </c>
      <c r="C78" s="2" t="s">
        <v>9</v>
      </c>
      <c r="D78" s="2" t="s">
        <v>10</v>
      </c>
      <c r="E78" s="2" t="s">
        <v>11</v>
      </c>
      <c r="F78" s="2">
        <f>VLOOKUP(B78,'[1]Laporan_Potongan_ (1)'!$C$6:$F$116,4,0)</f>
        <v>176500</v>
      </c>
      <c r="G78" s="2" t="s">
        <v>263</v>
      </c>
    </row>
    <row r="79" spans="1:7" x14ac:dyDescent="0.25">
      <c r="A79" s="2" t="s">
        <v>188</v>
      </c>
      <c r="B79" s="2" t="s">
        <v>189</v>
      </c>
      <c r="C79" s="2" t="s">
        <v>9</v>
      </c>
      <c r="D79" s="2" t="s">
        <v>10</v>
      </c>
      <c r="E79" s="2" t="s">
        <v>11</v>
      </c>
      <c r="F79" s="2">
        <f>VLOOKUP(B79,'[1]Laporan_Potongan_ (1)'!$C$6:$F$116,4,0)</f>
        <v>656200</v>
      </c>
      <c r="G79" s="2" t="s">
        <v>263</v>
      </c>
    </row>
    <row r="80" spans="1:7" x14ac:dyDescent="0.25">
      <c r="A80" s="2" t="s">
        <v>190</v>
      </c>
      <c r="B80" s="2" t="s">
        <v>191</v>
      </c>
      <c r="C80" s="2" t="s">
        <v>9</v>
      </c>
      <c r="D80" s="2" t="s">
        <v>10</v>
      </c>
      <c r="E80" s="2" t="s">
        <v>11</v>
      </c>
      <c r="F80" s="2">
        <f>VLOOKUP(B80,'[1]Laporan_Potongan_ (1)'!$C$6:$F$116,4,0)</f>
        <v>515750</v>
      </c>
      <c r="G80" s="2" t="s">
        <v>263</v>
      </c>
    </row>
    <row r="81" spans="1:7" x14ac:dyDescent="0.25">
      <c r="A81" s="2" t="s">
        <v>192</v>
      </c>
      <c r="B81" s="2" t="s">
        <v>193</v>
      </c>
      <c r="C81" s="2" t="s">
        <v>63</v>
      </c>
      <c r="D81" s="2" t="s">
        <v>10</v>
      </c>
      <c r="E81" s="2" t="s">
        <v>11</v>
      </c>
      <c r="F81" s="2">
        <f>VLOOKUP(B81,'[1]Laporan_Potongan_ (1)'!$C$6:$F$116,4,0)</f>
        <v>1297114</v>
      </c>
      <c r="G81" s="2" t="s">
        <v>263</v>
      </c>
    </row>
    <row r="82" spans="1:7" x14ac:dyDescent="0.25">
      <c r="A82" s="2" t="s">
        <v>194</v>
      </c>
      <c r="B82" s="2" t="s">
        <v>195</v>
      </c>
      <c r="C82" s="2" t="s">
        <v>196</v>
      </c>
      <c r="D82" s="2" t="s">
        <v>10</v>
      </c>
      <c r="E82" s="2" t="s">
        <v>11</v>
      </c>
      <c r="F82" s="2">
        <f>VLOOKUP(B82,'[1]Laporan_Potongan_ (1)'!$C$6:$F$116,4,0)</f>
        <v>11500</v>
      </c>
      <c r="G82" s="2" t="s">
        <v>263</v>
      </c>
    </row>
    <row r="83" spans="1:7" x14ac:dyDescent="0.25">
      <c r="A83" s="2" t="s">
        <v>197</v>
      </c>
      <c r="B83" s="2" t="s">
        <v>198</v>
      </c>
      <c r="C83" s="2" t="s">
        <v>9</v>
      </c>
      <c r="D83" s="2" t="s">
        <v>10</v>
      </c>
      <c r="E83" s="2" t="s">
        <v>11</v>
      </c>
      <c r="F83" s="2">
        <f>VLOOKUP(B83,'[1]Laporan_Potongan_ (1)'!$C$6:$F$116,4,0)</f>
        <v>692197</v>
      </c>
      <c r="G83" s="2" t="s">
        <v>263</v>
      </c>
    </row>
    <row r="84" spans="1:7" x14ac:dyDescent="0.25">
      <c r="A84" s="2" t="s">
        <v>199</v>
      </c>
      <c r="B84" s="2" t="s">
        <v>200</v>
      </c>
      <c r="C84" s="2" t="s">
        <v>9</v>
      </c>
      <c r="D84" s="2" t="s">
        <v>10</v>
      </c>
      <c r="E84" s="2" t="s">
        <v>11</v>
      </c>
      <c r="F84" s="2">
        <f>VLOOKUP(B84,'[1]Laporan_Potongan_ (1)'!$C$6:$F$116,4,0)</f>
        <v>936000</v>
      </c>
      <c r="G84" s="2" t="s">
        <v>263</v>
      </c>
    </row>
    <row r="85" spans="1:7" x14ac:dyDescent="0.25">
      <c r="A85" s="2" t="s">
        <v>201</v>
      </c>
      <c r="B85" s="2" t="s">
        <v>202</v>
      </c>
      <c r="C85" s="2" t="s">
        <v>63</v>
      </c>
      <c r="D85" s="2" t="s">
        <v>10</v>
      </c>
      <c r="E85" s="2" t="s">
        <v>11</v>
      </c>
      <c r="F85" s="2">
        <f>VLOOKUP(B85,'[1]Laporan_Potongan_ (1)'!$C$6:$F$116,4,0)</f>
        <v>599000</v>
      </c>
      <c r="G85" s="2" t="s">
        <v>263</v>
      </c>
    </row>
    <row r="86" spans="1:7" x14ac:dyDescent="0.25">
      <c r="A86" s="2" t="s">
        <v>203</v>
      </c>
      <c r="B86" s="2" t="s">
        <v>204</v>
      </c>
      <c r="C86" s="2" t="s">
        <v>9</v>
      </c>
      <c r="D86" s="2" t="s">
        <v>10</v>
      </c>
      <c r="E86" s="2" t="s">
        <v>11</v>
      </c>
      <c r="F86" s="2">
        <f>VLOOKUP(B86,'[1]Laporan_Potongan_ (1)'!$C$6:$F$116,4,0)</f>
        <v>2433522</v>
      </c>
      <c r="G86" s="2" t="s">
        <v>263</v>
      </c>
    </row>
    <row r="87" spans="1:7" x14ac:dyDescent="0.25">
      <c r="A87" s="2" t="s">
        <v>205</v>
      </c>
      <c r="B87" s="2" t="s">
        <v>206</v>
      </c>
      <c r="C87" s="2" t="s">
        <v>9</v>
      </c>
      <c r="D87" s="2" t="s">
        <v>10</v>
      </c>
      <c r="E87" s="2" t="s">
        <v>11</v>
      </c>
      <c r="F87" s="2">
        <f>VLOOKUP(B87,'[1]Laporan_Potongan_ (1)'!$C$6:$F$116,4,0)</f>
        <v>2007000</v>
      </c>
      <c r="G87" s="2" t="s">
        <v>263</v>
      </c>
    </row>
    <row r="88" spans="1:7" x14ac:dyDescent="0.25">
      <c r="A88" s="2" t="s">
        <v>207</v>
      </c>
      <c r="B88" s="2" t="s">
        <v>208</v>
      </c>
      <c r="C88" s="2" t="s">
        <v>170</v>
      </c>
      <c r="D88" s="2" t="s">
        <v>10</v>
      </c>
      <c r="E88" s="2" t="s">
        <v>11</v>
      </c>
      <c r="F88" s="2">
        <f>VLOOKUP(B88,'[1]Laporan_Potongan_ (1)'!$C$6:$F$116,4,0)</f>
        <v>942178</v>
      </c>
      <c r="G88" s="2" t="s">
        <v>263</v>
      </c>
    </row>
    <row r="89" spans="1:7" x14ac:dyDescent="0.25">
      <c r="A89" s="2" t="s">
        <v>209</v>
      </c>
      <c r="B89" s="2" t="s">
        <v>210</v>
      </c>
      <c r="C89" s="2" t="s">
        <v>9</v>
      </c>
      <c r="D89" s="2" t="s">
        <v>10</v>
      </c>
      <c r="E89" s="2" t="s">
        <v>11</v>
      </c>
      <c r="F89" s="2">
        <f>VLOOKUP(B89,'[1]Laporan_Potongan_ (1)'!$C$6:$F$116,4,0)</f>
        <v>495000</v>
      </c>
      <c r="G89" s="2" t="s">
        <v>263</v>
      </c>
    </row>
    <row r="90" spans="1:7" x14ac:dyDescent="0.25">
      <c r="A90" s="2" t="s">
        <v>211</v>
      </c>
      <c r="B90" s="2" t="s">
        <v>212</v>
      </c>
      <c r="C90" s="2" t="s">
        <v>9</v>
      </c>
      <c r="D90" s="2" t="s">
        <v>10</v>
      </c>
      <c r="E90" s="2" t="s">
        <v>11</v>
      </c>
      <c r="F90" s="2">
        <f>VLOOKUP(B90,'[1]Laporan_Potongan_ (1)'!$C$6:$F$116,4,0)</f>
        <v>456500</v>
      </c>
      <c r="G90" s="2" t="s">
        <v>263</v>
      </c>
    </row>
    <row r="91" spans="1:7" x14ac:dyDescent="0.25">
      <c r="A91" s="2" t="s">
        <v>213</v>
      </c>
      <c r="B91" s="2" t="s">
        <v>214</v>
      </c>
      <c r="C91" s="2" t="s">
        <v>9</v>
      </c>
      <c r="D91" s="2" t="s">
        <v>10</v>
      </c>
      <c r="E91" s="2" t="s">
        <v>11</v>
      </c>
      <c r="F91" s="2">
        <f>VLOOKUP(B91,'[1]Laporan_Potongan_ (1)'!$C$6:$F$116,4,0)</f>
        <v>868500</v>
      </c>
      <c r="G91" s="2" t="s">
        <v>263</v>
      </c>
    </row>
    <row r="92" spans="1:7" x14ac:dyDescent="0.25">
      <c r="A92" s="2" t="s">
        <v>215</v>
      </c>
      <c r="B92" s="2" t="s">
        <v>216</v>
      </c>
      <c r="C92" s="2" t="s">
        <v>9</v>
      </c>
      <c r="D92" s="2" t="s">
        <v>10</v>
      </c>
      <c r="E92" s="2" t="s">
        <v>11</v>
      </c>
      <c r="F92" s="2">
        <f>VLOOKUP(B92,'[1]Laporan_Potongan_ (1)'!$C$6:$F$116,4,0)</f>
        <v>865000</v>
      </c>
      <c r="G92" s="2" t="s">
        <v>263</v>
      </c>
    </row>
    <row r="93" spans="1:7" x14ac:dyDescent="0.25">
      <c r="A93" s="2" t="s">
        <v>217</v>
      </c>
      <c r="B93" s="2" t="s">
        <v>218</v>
      </c>
      <c r="C93" s="2" t="s">
        <v>170</v>
      </c>
      <c r="D93" s="2" t="s">
        <v>10</v>
      </c>
      <c r="E93" s="2" t="s">
        <v>11</v>
      </c>
      <c r="F93" s="2">
        <f>VLOOKUP(B93,'[1]Laporan_Potongan_ (1)'!$C$6:$F$116,4,0)</f>
        <v>346000</v>
      </c>
      <c r="G93" s="2" t="s">
        <v>263</v>
      </c>
    </row>
    <row r="94" spans="1:7" x14ac:dyDescent="0.25">
      <c r="A94" s="2" t="s">
        <v>219</v>
      </c>
      <c r="B94" s="2" t="s">
        <v>220</v>
      </c>
      <c r="C94" s="2" t="s">
        <v>9</v>
      </c>
      <c r="D94" s="2" t="s">
        <v>10</v>
      </c>
      <c r="E94" s="2" t="s">
        <v>11</v>
      </c>
      <c r="F94" s="2">
        <f>VLOOKUP(B94,'[1]Laporan_Potongan_ (1)'!$C$6:$F$116,4,0)</f>
        <v>1367850</v>
      </c>
      <c r="G94" s="2" t="s">
        <v>263</v>
      </c>
    </row>
    <row r="95" spans="1:7" x14ac:dyDescent="0.25">
      <c r="A95" s="2" t="s">
        <v>221</v>
      </c>
      <c r="B95" s="2" t="s">
        <v>222</v>
      </c>
      <c r="C95" s="2" t="s">
        <v>9</v>
      </c>
      <c r="D95" s="2" t="s">
        <v>10</v>
      </c>
      <c r="E95" s="2" t="s">
        <v>11</v>
      </c>
      <c r="F95" s="2">
        <f>VLOOKUP(B95,'[1]Laporan_Potongan_ (1)'!$C$6:$F$116,4,0)</f>
        <v>1688291</v>
      </c>
      <c r="G95" s="2" t="s">
        <v>263</v>
      </c>
    </row>
    <row r="96" spans="1:7" x14ac:dyDescent="0.25">
      <c r="A96" s="2" t="s">
        <v>223</v>
      </c>
      <c r="B96" s="2" t="s">
        <v>224</v>
      </c>
      <c r="C96" s="2" t="s">
        <v>9</v>
      </c>
      <c r="D96" s="2" t="s">
        <v>10</v>
      </c>
      <c r="E96" s="2" t="s">
        <v>11</v>
      </c>
      <c r="F96" s="2">
        <f>VLOOKUP(B96,'[1]Laporan_Potongan_ (1)'!$C$6:$F$116,4,0)</f>
        <v>598500</v>
      </c>
      <c r="G96" s="2" t="s">
        <v>263</v>
      </c>
    </row>
    <row r="97" spans="1:7" x14ac:dyDescent="0.25">
      <c r="A97" s="2" t="s">
        <v>225</v>
      </c>
      <c r="B97" s="2" t="s">
        <v>226</v>
      </c>
      <c r="C97" s="2" t="s">
        <v>170</v>
      </c>
      <c r="D97" s="2" t="s">
        <v>10</v>
      </c>
      <c r="E97" s="2" t="s">
        <v>11</v>
      </c>
      <c r="F97" s="2">
        <f>VLOOKUP(B97,'[1]Laporan_Potongan_ (1)'!$C$6:$F$116,4,0)</f>
        <v>1706222</v>
      </c>
      <c r="G97" s="2" t="s">
        <v>263</v>
      </c>
    </row>
    <row r="98" spans="1:7" x14ac:dyDescent="0.25">
      <c r="A98" s="2" t="s">
        <v>227</v>
      </c>
      <c r="B98" s="2" t="s">
        <v>228</v>
      </c>
      <c r="C98" s="2" t="s">
        <v>229</v>
      </c>
      <c r="D98" s="2" t="s">
        <v>10</v>
      </c>
      <c r="E98" s="2" t="s">
        <v>11</v>
      </c>
      <c r="F98" s="2">
        <f>VLOOKUP(B98,'[1]Laporan_Potongan_ (1)'!$C$6:$F$116,4,0)</f>
        <v>1326347</v>
      </c>
      <c r="G98" s="2" t="s">
        <v>263</v>
      </c>
    </row>
    <row r="99" spans="1:7" x14ac:dyDescent="0.25">
      <c r="A99" s="2" t="s">
        <v>230</v>
      </c>
      <c r="B99" s="2" t="s">
        <v>231</v>
      </c>
      <c r="C99" s="2" t="s">
        <v>146</v>
      </c>
      <c r="D99" s="2" t="s">
        <v>10</v>
      </c>
      <c r="E99" s="2" t="s">
        <v>11</v>
      </c>
      <c r="F99" s="2">
        <f>VLOOKUP(B99,'[1]Laporan_Potongan_ (1)'!$C$6:$F$116,4,0)</f>
        <v>387440</v>
      </c>
      <c r="G99" s="2" t="s">
        <v>263</v>
      </c>
    </row>
    <row r="100" spans="1:7" x14ac:dyDescent="0.25">
      <c r="A100" s="2" t="s">
        <v>232</v>
      </c>
      <c r="B100" s="2" t="s">
        <v>233</v>
      </c>
      <c r="C100" s="2" t="s">
        <v>81</v>
      </c>
      <c r="D100" s="2" t="s">
        <v>10</v>
      </c>
      <c r="E100" s="2" t="s">
        <v>11</v>
      </c>
      <c r="F100" s="2">
        <f>VLOOKUP(B100,'[1]Laporan_Potongan_ (1)'!$C$6:$F$116,4,0)</f>
        <v>575000</v>
      </c>
      <c r="G100" s="2" t="s">
        <v>263</v>
      </c>
    </row>
    <row r="101" spans="1:7" x14ac:dyDescent="0.25">
      <c r="A101" s="2" t="s">
        <v>234</v>
      </c>
      <c r="B101" s="2" t="s">
        <v>235</v>
      </c>
      <c r="C101" s="2" t="s">
        <v>63</v>
      </c>
      <c r="D101" s="2" t="s">
        <v>10</v>
      </c>
      <c r="E101" s="2" t="s">
        <v>11</v>
      </c>
      <c r="F101" s="2">
        <f>VLOOKUP(B101,'[1]Laporan_Potongan_ (1)'!$C$6:$F$116,4,0)</f>
        <v>1189593</v>
      </c>
      <c r="G101" s="2" t="s">
        <v>263</v>
      </c>
    </row>
    <row r="102" spans="1:7" x14ac:dyDescent="0.25">
      <c r="A102" s="2" t="s">
        <v>236</v>
      </c>
      <c r="B102" s="2" t="s">
        <v>237</v>
      </c>
      <c r="C102" s="2" t="s">
        <v>238</v>
      </c>
      <c r="D102" s="2" t="s">
        <v>10</v>
      </c>
      <c r="E102" s="2" t="s">
        <v>11</v>
      </c>
      <c r="F102" s="2">
        <f>VLOOKUP(B102,'[1]Laporan_Potongan_ (1)'!$C$6:$F$116,4,0)</f>
        <v>1806777</v>
      </c>
      <c r="G102" s="2" t="s">
        <v>263</v>
      </c>
    </row>
    <row r="103" spans="1:7" x14ac:dyDescent="0.25">
      <c r="A103" s="2" t="s">
        <v>239</v>
      </c>
      <c r="B103" s="2" t="s">
        <v>240</v>
      </c>
      <c r="C103" s="2" t="s">
        <v>60</v>
      </c>
      <c r="D103" s="2" t="s">
        <v>10</v>
      </c>
      <c r="E103" s="2" t="s">
        <v>11</v>
      </c>
      <c r="F103" s="2">
        <f>VLOOKUP(B103,'[1]Laporan_Potongan_ (1)'!$C$6:$F$116,4,0)</f>
        <v>384500</v>
      </c>
      <c r="G103" s="2" t="s">
        <v>263</v>
      </c>
    </row>
    <row r="104" spans="1:7" x14ac:dyDescent="0.25">
      <c r="A104" s="2" t="s">
        <v>241</v>
      </c>
      <c r="B104" s="2" t="s">
        <v>242</v>
      </c>
      <c r="C104" s="2" t="s">
        <v>9</v>
      </c>
      <c r="D104" s="2" t="s">
        <v>10</v>
      </c>
      <c r="E104" s="2" t="s">
        <v>11</v>
      </c>
      <c r="F104" s="2">
        <f>VLOOKUP(B104,'[1]Laporan_Potongan_ (1)'!$C$6:$F$116,4,0)</f>
        <v>384500</v>
      </c>
      <c r="G104" s="2" t="s">
        <v>263</v>
      </c>
    </row>
    <row r="105" spans="1:7" x14ac:dyDescent="0.25">
      <c r="A105" s="2" t="s">
        <v>243</v>
      </c>
      <c r="B105" s="2" t="s">
        <v>244</v>
      </c>
      <c r="C105" s="2" t="s">
        <v>17</v>
      </c>
      <c r="D105" s="2" t="s">
        <v>10</v>
      </c>
      <c r="E105" s="2" t="s">
        <v>11</v>
      </c>
      <c r="F105" s="2">
        <f>VLOOKUP(B105,'[1]Laporan_Potongan_ (1)'!$C$6:$F$116,4,0)</f>
        <v>827470</v>
      </c>
      <c r="G105" s="2" t="s">
        <v>263</v>
      </c>
    </row>
    <row r="106" spans="1:7" x14ac:dyDescent="0.25">
      <c r="A106" s="2" t="s">
        <v>245</v>
      </c>
      <c r="B106" s="2" t="s">
        <v>246</v>
      </c>
      <c r="C106" s="2" t="s">
        <v>31</v>
      </c>
      <c r="D106" s="2" t="s">
        <v>10</v>
      </c>
      <c r="E106" s="2" t="s">
        <v>11</v>
      </c>
      <c r="F106" s="2">
        <f>VLOOKUP(B106,'[1]Laporan_Potongan_ (1)'!$C$6:$F$116,4,0)</f>
        <v>1025628</v>
      </c>
      <c r="G106" s="2" t="s">
        <v>263</v>
      </c>
    </row>
    <row r="107" spans="1:7" x14ac:dyDescent="0.25">
      <c r="A107" s="2" t="s">
        <v>247</v>
      </c>
      <c r="B107" s="2" t="s">
        <v>248</v>
      </c>
      <c r="C107" s="2" t="s">
        <v>39</v>
      </c>
      <c r="D107" s="2" t="s">
        <v>10</v>
      </c>
      <c r="E107" s="2" t="s">
        <v>11</v>
      </c>
      <c r="F107" s="2">
        <f>VLOOKUP(B107,'[1]Laporan_Potongan_ (1)'!$C$6:$F$116,4,0)</f>
        <v>444000</v>
      </c>
      <c r="G107" s="2" t="s">
        <v>263</v>
      </c>
    </row>
    <row r="108" spans="1:7" x14ac:dyDescent="0.25">
      <c r="A108" s="2" t="s">
        <v>249</v>
      </c>
      <c r="B108" s="2" t="s">
        <v>250</v>
      </c>
      <c r="C108" s="2" t="s">
        <v>9</v>
      </c>
      <c r="D108" s="2" t="s">
        <v>10</v>
      </c>
      <c r="E108" s="2" t="s">
        <v>11</v>
      </c>
      <c r="F108" s="2">
        <f>VLOOKUP(B108,'[1]Laporan_Potongan_ (1)'!$C$6:$F$116,4,0)</f>
        <v>583800</v>
      </c>
      <c r="G108" s="2" t="s">
        <v>263</v>
      </c>
    </row>
    <row r="109" spans="1:7" x14ac:dyDescent="0.25">
      <c r="A109" s="2" t="s">
        <v>251</v>
      </c>
      <c r="B109" s="2" t="s">
        <v>252</v>
      </c>
      <c r="C109" s="2" t="s">
        <v>9</v>
      </c>
      <c r="D109" s="2" t="s">
        <v>10</v>
      </c>
      <c r="E109" s="2" t="s">
        <v>11</v>
      </c>
      <c r="F109" s="2">
        <f>VLOOKUP(B109,'[1]Laporan_Potongan_ (1)'!$C$6:$F$116,4,0)</f>
        <v>992020</v>
      </c>
      <c r="G109" s="2" t="s">
        <v>263</v>
      </c>
    </row>
    <row r="110" spans="1:7" x14ac:dyDescent="0.25">
      <c r="A110" s="2" t="s">
        <v>253</v>
      </c>
      <c r="B110" s="2" t="s">
        <v>254</v>
      </c>
      <c r="C110" s="2" t="s">
        <v>9</v>
      </c>
      <c r="D110" s="2" t="s">
        <v>10</v>
      </c>
      <c r="E110" s="2" t="s">
        <v>11</v>
      </c>
      <c r="F110" s="2">
        <f>VLOOKUP(B110,'[1]Laporan_Potongan_ (1)'!$C$6:$F$116,4,0)</f>
        <v>2098000</v>
      </c>
      <c r="G110" s="2" t="s">
        <v>263</v>
      </c>
    </row>
    <row r="111" spans="1:7" x14ac:dyDescent="0.25">
      <c r="A111" s="2" t="s">
        <v>255</v>
      </c>
      <c r="B111" s="2" t="s">
        <v>256</v>
      </c>
      <c r="C111" s="2" t="s">
        <v>238</v>
      </c>
      <c r="D111" s="2" t="s">
        <v>10</v>
      </c>
      <c r="E111" s="2" t="s">
        <v>11</v>
      </c>
      <c r="F111" s="2">
        <f>VLOOKUP(B111,'[1]Laporan_Potongan_ (1)'!$C$6:$F$116,4,0)</f>
        <v>523726</v>
      </c>
      <c r="G111" s="2" t="s">
        <v>263</v>
      </c>
    </row>
    <row r="112" spans="1:7" x14ac:dyDescent="0.25">
      <c r="A112" s="2" t="s">
        <v>257</v>
      </c>
      <c r="B112" s="2" t="s">
        <v>258</v>
      </c>
      <c r="C112" s="2" t="s">
        <v>81</v>
      </c>
      <c r="D112" s="2" t="s">
        <v>10</v>
      </c>
      <c r="E112" s="2" t="s">
        <v>11</v>
      </c>
      <c r="F112" s="2">
        <f>VLOOKUP(B112,'[1]Laporan_Potongan_ (1)'!$C$6:$F$116,4,0)</f>
        <v>364400</v>
      </c>
      <c r="G112" s="2" t="s">
        <v>263</v>
      </c>
    </row>
    <row r="113" spans="1:7" x14ac:dyDescent="0.25">
      <c r="A113" s="2" t="s">
        <v>259</v>
      </c>
      <c r="B113" s="2" t="s">
        <v>260</v>
      </c>
      <c r="C113" s="2" t="s">
        <v>9</v>
      </c>
      <c r="D113" s="2" t="s">
        <v>10</v>
      </c>
      <c r="E113" s="2" t="s">
        <v>11</v>
      </c>
      <c r="F113" s="2">
        <f>VLOOKUP(B113,'[1]Laporan_Potongan_ (1)'!$C$6:$F$116,4,0)</f>
        <v>565000</v>
      </c>
      <c r="G113" s="2" t="s">
        <v>263</v>
      </c>
    </row>
    <row r="114" spans="1:7" x14ac:dyDescent="0.25">
      <c r="A114" s="2" t="s">
        <v>261</v>
      </c>
      <c r="B114" s="2" t="s">
        <v>262</v>
      </c>
      <c r="C114" s="2" t="s">
        <v>17</v>
      </c>
      <c r="D114" s="2" t="s">
        <v>10</v>
      </c>
      <c r="E114" s="2" t="s">
        <v>11</v>
      </c>
      <c r="F114" s="2">
        <f>VLOOKUP(B114,'[1]Laporan_Potongan_ (1)'!$C$6:$F$116,4,0)</f>
        <v>1931300</v>
      </c>
      <c r="G114" s="2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Daftar_Karyawan_CARE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2026-02-04T07:19:47Z</dcterms:created>
  <dcterms:modified xsi:type="dcterms:W3CDTF">2026-02-04T07:19:47Z</dcterms:modified>
</cp:coreProperties>
</file>