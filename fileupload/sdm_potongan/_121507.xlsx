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6 ANUGERAH\01. Afrek Januari 26\01 PANEN GABUNG ANUGERAH JAn 2026\POT OWL JAN 26\"/>
    </mc:Choice>
  </mc:AlternateContent>
  <xr:revisionPtr revIDLastSave="0" documentId="13_ncr:1_{429C8F2F-492C-4BFA-AA95-193E6A497072}" xr6:coauthVersionLast="47" xr6:coauthVersionMax="47" xr10:uidLastSave="{00000000-0000-0000-0000-000000000000}"/>
  <bookViews>
    <workbookView xWindow="-110" yWindow="-110" windowWidth="19420" windowHeight="10300" xr2:uid="{29225D32-42CE-4120-B5B0-CEAFFADAA406}"/>
  </bookViews>
  <sheets>
    <sheet name="Daftar_Karyawan_LANE (3)" sheetId="2" r:id="rId1"/>
  </sheets>
  <externalReferences>
    <externalReference r:id="rId2"/>
  </externalReferences>
  <definedNames>
    <definedName name="_xlnm._FilterDatabase" localSheetId="0" hidden="1">'Daftar_Karyawan_LANE (3)'!$F$1:$F$337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4" i="2" l="1"/>
  <c r="F291" i="2"/>
  <c r="F91" i="2"/>
  <c r="F34" i="2"/>
  <c r="F334" i="2" s="1"/>
  <c r="F335" i="2"/>
  <c r="F336" i="2" l="1"/>
</calcChain>
</file>

<file path=xl/sharedStrings.xml><?xml version="1.0" encoding="utf-8"?>
<sst xmlns="http://schemas.openxmlformats.org/spreadsheetml/2006/main" count="1667" uniqueCount="705">
  <si>
    <t>No Induk Karyawan</t>
  </si>
  <si>
    <t>Nama</t>
  </si>
  <si>
    <t>Jabatan</t>
  </si>
  <si>
    <t>Lokasi Tugas</t>
  </si>
  <si>
    <t>Divisi</t>
  </si>
  <si>
    <t>Jumlah</t>
  </si>
  <si>
    <t>Keterangan</t>
  </si>
  <si>
    <t>LANLANE08120002</t>
  </si>
  <si>
    <t>ABDUL HADI</t>
  </si>
  <si>
    <t>OPERATOR GENSET</t>
  </si>
  <si>
    <t>LANE</t>
  </si>
  <si>
    <t>KANTOR</t>
  </si>
  <si>
    <t>LANLANE10250247</t>
  </si>
  <si>
    <t>ABDUL MAJID</t>
  </si>
  <si>
    <t>PERAWATAN</t>
  </si>
  <si>
    <t>LANLANE25060003</t>
  </si>
  <si>
    <t>ABDUL ROSYID</t>
  </si>
  <si>
    <t>LANLANE12040004</t>
  </si>
  <si>
    <t>ABDULLAH</t>
  </si>
  <si>
    <t>Supir</t>
  </si>
  <si>
    <t>LANLANE25060005</t>
  </si>
  <si>
    <t>ABDUSSAMAD</t>
  </si>
  <si>
    <t>LANLANE25050006</t>
  </si>
  <si>
    <t>Abidin</t>
  </si>
  <si>
    <t>PEMANEN</t>
  </si>
  <si>
    <t>LANLANE18030007</t>
  </si>
  <si>
    <t>ABRAR FUADI</t>
  </si>
  <si>
    <t>Kaum Masjid</t>
  </si>
  <si>
    <t>LANLANE25060008</t>
  </si>
  <si>
    <t>ADI WIJOYO</t>
  </si>
  <si>
    <t>LANLANE25060009</t>
  </si>
  <si>
    <t>ADITYA</t>
  </si>
  <si>
    <t>LANLANE24060010</t>
  </si>
  <si>
    <t>Aditya Wardana</t>
  </si>
  <si>
    <t>Kerani Produksi</t>
  </si>
  <si>
    <t>CARCARE25060086</t>
  </si>
  <si>
    <t>AGUNG SETIAWAN</t>
  </si>
  <si>
    <t>LANLANE24090011</t>
  </si>
  <si>
    <t>AGUNG WIGIH PRAYOGA</t>
  </si>
  <si>
    <t>SATPAM</t>
  </si>
  <si>
    <t>LANLANE10020012</t>
  </si>
  <si>
    <t>AGUS DAHRONI</t>
  </si>
  <si>
    <t>MEKANIK</t>
  </si>
  <si>
    <t>LANLANE08990078</t>
  </si>
  <si>
    <t>AGUS PRIYANTO</t>
  </si>
  <si>
    <t>Kernet</t>
  </si>
  <si>
    <t>LANLANE99020013</t>
  </si>
  <si>
    <t>Agus Setiyohadi</t>
  </si>
  <si>
    <t>Kasie Traksi</t>
  </si>
  <si>
    <t>LANLANE18030014</t>
  </si>
  <si>
    <t>Agus Suharyanto</t>
  </si>
  <si>
    <t>LANLANE07450072</t>
  </si>
  <si>
    <t>Agus Suri Kehi</t>
  </si>
  <si>
    <t>LANLANE24060015</t>
  </si>
  <si>
    <t>AGUSTINO BARROS</t>
  </si>
  <si>
    <t>LANLANE03220001</t>
  </si>
  <si>
    <t>AGUSTINUS SURI KEHI</t>
  </si>
  <si>
    <t>LANLANE07450135</t>
  </si>
  <si>
    <t>AHMAD</t>
  </si>
  <si>
    <t>LANLANE09250001</t>
  </si>
  <si>
    <t>AHMAD BUDIONO</t>
  </si>
  <si>
    <t>LANLANE25060017</t>
  </si>
  <si>
    <t>AHMAD FAUZI</t>
  </si>
  <si>
    <t>LANLANE25010018</t>
  </si>
  <si>
    <t>AHMAD MURSIDIN</t>
  </si>
  <si>
    <t>LANLANE02010058</t>
  </si>
  <si>
    <t>AHMAD SAPAWI MOLANA</t>
  </si>
  <si>
    <t>LANLANE07450074</t>
  </si>
  <si>
    <t>Ahmad Sufiandi</t>
  </si>
  <si>
    <t>LANLANE07450007</t>
  </si>
  <si>
    <t>AIDA</t>
  </si>
  <si>
    <t>LANLANE18050019</t>
  </si>
  <si>
    <t>Airu Salim</t>
  </si>
  <si>
    <t>LANLANE07450075</t>
  </si>
  <si>
    <t>Aisah</t>
  </si>
  <si>
    <t>LANLANE24020020</t>
  </si>
  <si>
    <t>Ajar</t>
  </si>
  <si>
    <t>LANLANE25010021</t>
  </si>
  <si>
    <t>AKHAMD YANDI PERMANA PUTRA</t>
  </si>
  <si>
    <t>Perawat/Bidan Klinik</t>
  </si>
  <si>
    <t>LANLANE21120022</t>
  </si>
  <si>
    <t>AKHMAD JALI</t>
  </si>
  <si>
    <t>LANLANE14010023</t>
  </si>
  <si>
    <t>Akhmad Mustangin</t>
  </si>
  <si>
    <t>LANLANE25020024</t>
  </si>
  <si>
    <t>ALFRIT POEN</t>
  </si>
  <si>
    <t>LANLANE12110025</t>
  </si>
  <si>
    <t>ALMANI</t>
  </si>
  <si>
    <t>LANLANE01990088</t>
  </si>
  <si>
    <t>Andreas Taek</t>
  </si>
  <si>
    <t>LANLANE25060026</t>
  </si>
  <si>
    <t>ARBAINAH</t>
  </si>
  <si>
    <t>LANLANE25060027</t>
  </si>
  <si>
    <t>ARBAYAH</t>
  </si>
  <si>
    <t>LANLANE19030029</t>
  </si>
  <si>
    <t>ARDIANSYAH</t>
  </si>
  <si>
    <t>LANLANE19030028</t>
  </si>
  <si>
    <t>Ardiansyah</t>
  </si>
  <si>
    <t>LANLANE25060030</t>
  </si>
  <si>
    <t>ARI SEPTIAWAN</t>
  </si>
  <si>
    <t>LANLANE21060031</t>
  </si>
  <si>
    <t>ARI SETIYADI</t>
  </si>
  <si>
    <t>LANLANE25060033</t>
  </si>
  <si>
    <t>ARIFIN</t>
  </si>
  <si>
    <t>LANLANE19100032</t>
  </si>
  <si>
    <t>Arifin</t>
  </si>
  <si>
    <t>LANLANE07080034</t>
  </si>
  <si>
    <t>ASFAHANI</t>
  </si>
  <si>
    <t>Operator Truk</t>
  </si>
  <si>
    <t>LANLANE07450076</t>
  </si>
  <si>
    <t>Asliah</t>
  </si>
  <si>
    <t>LANLANE25060035</t>
  </si>
  <si>
    <t>ASMANI</t>
  </si>
  <si>
    <t>LANLANE07450077</t>
  </si>
  <si>
    <t>Asmaniah</t>
  </si>
  <si>
    <t>LANLANE21080036</t>
  </si>
  <si>
    <t>Asmawi</t>
  </si>
  <si>
    <t>LANLANE20020037</t>
  </si>
  <si>
    <t>Atim Johari</t>
  </si>
  <si>
    <t>LANLANE25060038</t>
  </si>
  <si>
    <t>BAGAS RAHMADIYANSAH</t>
  </si>
  <si>
    <t>KERANI PANEN</t>
  </si>
  <si>
    <t>LANLANE21120039</t>
  </si>
  <si>
    <t>BAHRANI</t>
  </si>
  <si>
    <t>SUPIR DUMP TRUCK</t>
  </si>
  <si>
    <t>LANLANE07450010</t>
  </si>
  <si>
    <t>BAINAH</t>
  </si>
  <si>
    <t>LANLANE08100040</t>
  </si>
  <si>
    <t>BANDONO</t>
  </si>
  <si>
    <t>Kepala Divisi</t>
  </si>
  <si>
    <t>LANLANE07450137</t>
  </si>
  <si>
    <t>BASNAH</t>
  </si>
  <si>
    <t>LANLANE25020041</t>
  </si>
  <si>
    <t>BUDI HARTAWAN SUDARNO</t>
  </si>
  <si>
    <t>LANLANE18030042</t>
  </si>
  <si>
    <t>BUDIANOR</t>
  </si>
  <si>
    <t>KARYAWAN UMUM</t>
  </si>
  <si>
    <t>LANLANE25060043</t>
  </si>
  <si>
    <t>DANANG S.</t>
  </si>
  <si>
    <t>LANLANE10250246</t>
  </si>
  <si>
    <t>DANANG SUTRISNO</t>
  </si>
  <si>
    <t>LANLANE25070044</t>
  </si>
  <si>
    <t>DANI</t>
  </si>
  <si>
    <t>LANLANE25060045</t>
  </si>
  <si>
    <t>LANLANE25020046</t>
  </si>
  <si>
    <t>DANI ARI SETIAWAN</t>
  </si>
  <si>
    <t>Pelaksana HPT</t>
  </si>
  <si>
    <t>LANLANE24040047</t>
  </si>
  <si>
    <t>DANIEL AGUSTIAN</t>
  </si>
  <si>
    <t>Kerani Personalia</t>
  </si>
  <si>
    <t>LANLANE08250004</t>
  </si>
  <si>
    <t>DANIEL NAHAK</t>
  </si>
  <si>
    <t>LANLANE19070048</t>
  </si>
  <si>
    <t>Darmanto</t>
  </si>
  <si>
    <t>LANLANE22050049</t>
  </si>
  <si>
    <t>DARSANI</t>
  </si>
  <si>
    <t>Waker</t>
  </si>
  <si>
    <t>LANLANE07450078</t>
  </si>
  <si>
    <t>DedeK Puji Lestari</t>
  </si>
  <si>
    <t>LANLANE24120050</t>
  </si>
  <si>
    <t>DEDI SAPUTRA</t>
  </si>
  <si>
    <t>LANLANE25060051</t>
  </si>
  <si>
    <t>DESI KURNIAWATI</t>
  </si>
  <si>
    <t>LANLANE25060052</t>
  </si>
  <si>
    <t>DESY AULIA INDRIYANI</t>
  </si>
  <si>
    <t>LANLANE07450079</t>
  </si>
  <si>
    <t>Devie Chandra Sari</t>
  </si>
  <si>
    <t>LANLANE13030053</t>
  </si>
  <si>
    <t>DEWI PERMATA INDAH</t>
  </si>
  <si>
    <t>KERANI KANTOR</t>
  </si>
  <si>
    <t>LANLANE24020054</t>
  </si>
  <si>
    <t>Didin Komarudin</t>
  </si>
  <si>
    <t>LANLANE09250003</t>
  </si>
  <si>
    <t>DIKI PRANANDA PUTRA</t>
  </si>
  <si>
    <t>LANLANE25010055</t>
  </si>
  <si>
    <t>DIMAS SANDY PRATAMA</t>
  </si>
  <si>
    <t>Loding</t>
  </si>
  <si>
    <t>LANLANE25060056</t>
  </si>
  <si>
    <t>DIMAZ ALFAREZA</t>
  </si>
  <si>
    <t>LANLANE09250004</t>
  </si>
  <si>
    <t>DJUMARI</t>
  </si>
  <si>
    <t>LANLANE10880049</t>
  </si>
  <si>
    <t>DOMINGGUS NAHAK</t>
  </si>
  <si>
    <t>LANLANE23100057</t>
  </si>
  <si>
    <t>DONI</t>
  </si>
  <si>
    <t>Operator Grandong</t>
  </si>
  <si>
    <t>LANLANE23100058</t>
  </si>
  <si>
    <t>DONI B</t>
  </si>
  <si>
    <t>LANLANE22010059</t>
  </si>
  <si>
    <t>EDHO ANDI SAPUTRA</t>
  </si>
  <si>
    <t>LANLANE08250005</t>
  </si>
  <si>
    <t>EKO MEI BAROTO</t>
  </si>
  <si>
    <t>LANLANE01060060</t>
  </si>
  <si>
    <t>EKO SUDARSONO</t>
  </si>
  <si>
    <t>KABAG PU</t>
  </si>
  <si>
    <t>LANLANE25060061</t>
  </si>
  <si>
    <t>EKO SULISTIONO</t>
  </si>
  <si>
    <t>LANLANE11070062</t>
  </si>
  <si>
    <t>ENDRO SISWONO</t>
  </si>
  <si>
    <t>LANLANE08250003</t>
  </si>
  <si>
    <t>ENI</t>
  </si>
  <si>
    <t>LANLANE25060064</t>
  </si>
  <si>
    <t>ERMA YULIANA</t>
  </si>
  <si>
    <t>LANLANE25060065</t>
  </si>
  <si>
    <t>ETYA DWI NOVIA ASTUTI</t>
  </si>
  <si>
    <t>LANLANE25060066</t>
  </si>
  <si>
    <t>FADLIN</t>
  </si>
  <si>
    <t>LANLANE25050067</t>
  </si>
  <si>
    <t>FANDY CHRISTIANBOYS</t>
  </si>
  <si>
    <t>LANLANE18100068</t>
  </si>
  <si>
    <t>FATHUR ROHMAN</t>
  </si>
  <si>
    <t>Mandor Produksi</t>
  </si>
  <si>
    <t>LANLANE25060069</t>
  </si>
  <si>
    <t>FATIMAH</t>
  </si>
  <si>
    <t>LANLANE24060070</t>
  </si>
  <si>
    <t>FATUR RAHMAN</t>
  </si>
  <si>
    <t>LANLANE19040071</t>
  </si>
  <si>
    <t>Mudim</t>
  </si>
  <si>
    <t>LANLANE25060072</t>
  </si>
  <si>
    <t>FEPEN EFENDI</t>
  </si>
  <si>
    <t>LANLANE23100073</t>
  </si>
  <si>
    <t>FIRDAUS ARDYA CAHYANI</t>
  </si>
  <si>
    <t>Kerani Traksi</t>
  </si>
  <si>
    <t>LANLANE25060074</t>
  </si>
  <si>
    <t>GUNAWAN</t>
  </si>
  <si>
    <t>LANLANE09250244</t>
  </si>
  <si>
    <t>GUNAWAN NON AKTIF</t>
  </si>
  <si>
    <t>ADM PERSONALIA</t>
  </si>
  <si>
    <t>LANLANE13100075</t>
  </si>
  <si>
    <t>HADI SISWANTO</t>
  </si>
  <si>
    <t>LANLANE25060076</t>
  </si>
  <si>
    <t>HAFIZ ZAHWIYUL RAHMAH</t>
  </si>
  <si>
    <t>LANLANE12120077</t>
  </si>
  <si>
    <t>Hairi</t>
  </si>
  <si>
    <t>LANLANE25060078</t>
  </si>
  <si>
    <t>HAJARATUL JANAH</t>
  </si>
  <si>
    <t>LANLANE25060079</t>
  </si>
  <si>
    <t>HALIMAH</t>
  </si>
  <si>
    <t>LANLANE22050080</t>
  </si>
  <si>
    <t>HAMSANI</t>
  </si>
  <si>
    <t>LANLANE07450143</t>
  </si>
  <si>
    <t>HANIP</t>
  </si>
  <si>
    <t>LANLANE25060081</t>
  </si>
  <si>
    <t>HAPISAH</t>
  </si>
  <si>
    <t>LANLANE25080082</t>
  </si>
  <si>
    <t>HARDIAN DWI PRATAMA</t>
  </si>
  <si>
    <t>MANDOR PERAWATAN</t>
  </si>
  <si>
    <t>LANLANE25060083</t>
  </si>
  <si>
    <t>HARIANAH</t>
  </si>
  <si>
    <t>LANLANE11030084</t>
  </si>
  <si>
    <t>Harmoko</t>
  </si>
  <si>
    <t>LANLANE23040085</t>
  </si>
  <si>
    <t>Hasan Basri</t>
  </si>
  <si>
    <t>LANLANE25060086</t>
  </si>
  <si>
    <t>HASIM</t>
  </si>
  <si>
    <t>LANLANE07450080</t>
  </si>
  <si>
    <t>Helna</t>
  </si>
  <si>
    <t>LANLANE15100087</t>
  </si>
  <si>
    <t>Hendrik</t>
  </si>
  <si>
    <t>LANLANE25010088</t>
  </si>
  <si>
    <t>HERWAN DIANTO</t>
  </si>
  <si>
    <t>OPERATOR MESIN AIR</t>
  </si>
  <si>
    <t>LANLANE06060089</t>
  </si>
  <si>
    <t>HUSIN</t>
  </si>
  <si>
    <t>PELAKSANA GUDANG</t>
  </si>
  <si>
    <t>LANLANE21120090</t>
  </si>
  <si>
    <t>Inah Efendi</t>
  </si>
  <si>
    <t>LANLANE07450081</t>
  </si>
  <si>
    <t>Indra</t>
  </si>
  <si>
    <t>LANLANE25060091</t>
  </si>
  <si>
    <t>IRFAN</t>
  </si>
  <si>
    <t>LANLANE20010093</t>
  </si>
  <si>
    <t>Irpan</t>
  </si>
  <si>
    <t>LANLANE07450015</t>
  </si>
  <si>
    <t>IRPAN B</t>
  </si>
  <si>
    <t>LANLANE21120094</t>
  </si>
  <si>
    <t>Isahriadi</t>
  </si>
  <si>
    <t>LANLANE07080095</t>
  </si>
  <si>
    <t>ISKANDAR</t>
  </si>
  <si>
    <t>LANLANE24080096</t>
  </si>
  <si>
    <t>ISWAN HADI</t>
  </si>
  <si>
    <t>LANLANE09060097</t>
  </si>
  <si>
    <t>IWAN ROSYADI</t>
  </si>
  <si>
    <t>LANLANE20030098</t>
  </si>
  <si>
    <t>Jahrani</t>
  </si>
  <si>
    <t>LANLANE25060099</t>
  </si>
  <si>
    <t>JAINAL</t>
  </si>
  <si>
    <t>LANLANE25060100</t>
  </si>
  <si>
    <t>JAINAP</t>
  </si>
  <si>
    <t>LANLANE07450145</t>
  </si>
  <si>
    <t>JAM IYAH</t>
  </si>
  <si>
    <t>LANLANE25030101</t>
  </si>
  <si>
    <t>JAMALUDIN</t>
  </si>
  <si>
    <t>CARCARE21120062</t>
  </si>
  <si>
    <t>JEFRI MALO</t>
  </si>
  <si>
    <t>PEMUAT TBS</t>
  </si>
  <si>
    <t>LANLANE24040102</t>
  </si>
  <si>
    <t>Joni Kehi</t>
  </si>
  <si>
    <t>LANLANE21070103</t>
  </si>
  <si>
    <t>Jumadil</t>
  </si>
  <si>
    <t>LANLANE08250002</t>
  </si>
  <si>
    <t>JUMADIL AWAL</t>
  </si>
  <si>
    <t>LANLANE19120104</t>
  </si>
  <si>
    <t>Jumbri</t>
  </si>
  <si>
    <t>LANLANE07450082</t>
  </si>
  <si>
    <t>Jumirah</t>
  </si>
  <si>
    <t>LANLANE23040105</t>
  </si>
  <si>
    <t>Junaedi</t>
  </si>
  <si>
    <t>LANLANE04840065</t>
  </si>
  <si>
    <t>JUNAIDI</t>
  </si>
  <si>
    <t>LANLANE19110106</t>
  </si>
  <si>
    <t>LANLANE22060107</t>
  </si>
  <si>
    <t>Junaidi Khoirul Mustapa</t>
  </si>
  <si>
    <t>LANLANE18050108</t>
  </si>
  <si>
    <t>Juni</t>
  </si>
  <si>
    <t>LANLANE25060109</t>
  </si>
  <si>
    <t>KAMAL INDRIANTO</t>
  </si>
  <si>
    <t>LANLANE07450034</t>
  </si>
  <si>
    <t>KARNADI</t>
  </si>
  <si>
    <t>LANLANE25060110</t>
  </si>
  <si>
    <t>KASIANAH</t>
  </si>
  <si>
    <t>LANLANE18050111</t>
  </si>
  <si>
    <t>Kasmadi</t>
  </si>
  <si>
    <t>LANLANE25010112</t>
  </si>
  <si>
    <t>KHOIRONI FAWAID</t>
  </si>
  <si>
    <t>Pelaksana Bap</t>
  </si>
  <si>
    <t>LANLANE07450018</t>
  </si>
  <si>
    <t>KUSNIAWATI</t>
  </si>
  <si>
    <t>LANLANE07450019</t>
  </si>
  <si>
    <t>KUSRAN</t>
  </si>
  <si>
    <t>LANLANE25010113</t>
  </si>
  <si>
    <t>LALU DURAKSE</t>
  </si>
  <si>
    <t>LANLANE07450147</t>
  </si>
  <si>
    <t>LAMIATI</t>
  </si>
  <si>
    <t>LANLANE07450083</t>
  </si>
  <si>
    <t>Lasiyem</t>
  </si>
  <si>
    <t>LANLANE25060114</t>
  </si>
  <si>
    <t>LILI AULIA</t>
  </si>
  <si>
    <t>LANLANE25060115</t>
  </si>
  <si>
    <t>LISNA</t>
  </si>
  <si>
    <t>LANLANE25060116</t>
  </si>
  <si>
    <t>LISWATI</t>
  </si>
  <si>
    <t>LANLANE07450084</t>
  </si>
  <si>
    <t>M Abdul Mukit</t>
  </si>
  <si>
    <t>LANLANE07450085</t>
  </si>
  <si>
    <t>M Alpian</t>
  </si>
  <si>
    <t>LANLANE21120117</t>
  </si>
  <si>
    <t>M JORDI OKTARIAWAN</t>
  </si>
  <si>
    <t>LANLANE07990099</t>
  </si>
  <si>
    <t>M Rudi</t>
  </si>
  <si>
    <t>LANLANE25060118</t>
  </si>
  <si>
    <t>M SOPIAN NOR</t>
  </si>
  <si>
    <t>LANLANE23080119</t>
  </si>
  <si>
    <t>M TAUFIQ HIDAYATULLAH</t>
  </si>
  <si>
    <t>LANLANE23100120</t>
  </si>
  <si>
    <t>M. Anas Rasyady</t>
  </si>
  <si>
    <t>LANLANE07450020</t>
  </si>
  <si>
    <t>M. ARYA MAULANA TAUFIK</t>
  </si>
  <si>
    <t>LANLANE21120121</t>
  </si>
  <si>
    <t>M. NASRULLAH</t>
  </si>
  <si>
    <t>LANLANE11120122</t>
  </si>
  <si>
    <t>MAMAT</t>
  </si>
  <si>
    <t>LANLANE25030123</t>
  </si>
  <si>
    <t>MANSYUR</t>
  </si>
  <si>
    <t>LANLANE07450087</t>
  </si>
  <si>
    <t>Maria Yuliani</t>
  </si>
  <si>
    <t>LANLANE21120124</t>
  </si>
  <si>
    <t>MARIANUS KASA</t>
  </si>
  <si>
    <t>LANLANE25060125</t>
  </si>
  <si>
    <t>MARNI</t>
  </si>
  <si>
    <t>LANLANE07450148</t>
  </si>
  <si>
    <t>MARNIAH</t>
  </si>
  <si>
    <t>LANLANE07450149</t>
  </si>
  <si>
    <t>MASNAH</t>
  </si>
  <si>
    <t>LANLANE25060126</t>
  </si>
  <si>
    <t>MASTAINAH</t>
  </si>
  <si>
    <t>LANLANE25060127</t>
  </si>
  <si>
    <t>MASTAN</t>
  </si>
  <si>
    <t>LANLANE23010128</t>
  </si>
  <si>
    <t>Melirius Muti Koen</t>
  </si>
  <si>
    <t>LANLANE10250245</t>
  </si>
  <si>
    <t>MISAF ABDUL AZIS</t>
  </si>
  <si>
    <t>LANLANE13070001</t>
  </si>
  <si>
    <t>MOEHAIMIN A G</t>
  </si>
  <si>
    <t>LANLANE21070129</t>
  </si>
  <si>
    <t>Moh Ismail</t>
  </si>
  <si>
    <t>LANLANE24110130</t>
  </si>
  <si>
    <t>MUAZZIM</t>
  </si>
  <si>
    <t>LANLANE25060131</t>
  </si>
  <si>
    <t>MUGNI</t>
  </si>
  <si>
    <t>LANLANE25060132</t>
  </si>
  <si>
    <t>MUHAMAD RAMADHAN</t>
  </si>
  <si>
    <t>LANLANE07080133</t>
  </si>
  <si>
    <t>Muhamad Yusro</t>
  </si>
  <si>
    <t>LANLANE25060134</t>
  </si>
  <si>
    <t>MUHAMMAD</t>
  </si>
  <si>
    <t>LANLANE25060135</t>
  </si>
  <si>
    <t>MUHAMMAD ALI SAPUTRA</t>
  </si>
  <si>
    <t>LANLANE07450035</t>
  </si>
  <si>
    <t>MUHAMMAD ARIF</t>
  </si>
  <si>
    <t>LANLANE07450024</t>
  </si>
  <si>
    <t>MUHAMMAD ARSYAD</t>
  </si>
  <si>
    <t>LANLANE22050136</t>
  </si>
  <si>
    <t>MUHAMMAD EFENDI</t>
  </si>
  <si>
    <t>LANLANE09250002</t>
  </si>
  <si>
    <t>MUHAMMAD FAJAR</t>
  </si>
  <si>
    <t>LANLANE25050137</t>
  </si>
  <si>
    <t>MUHAMMAD HUDA</t>
  </si>
  <si>
    <t>LANLANE24090138</t>
  </si>
  <si>
    <t>MUHAMMAD IKHSAN</t>
  </si>
  <si>
    <t>LANLANE25060139</t>
  </si>
  <si>
    <t>MUHAMMAD IRFANSYAH</t>
  </si>
  <si>
    <t>LANLANE25010140</t>
  </si>
  <si>
    <t>MUHAMMAD IRFANTO</t>
  </si>
  <si>
    <t>LANLANE24090142</t>
  </si>
  <si>
    <t>Muhammad Noor Husyaini</t>
  </si>
  <si>
    <t>LANLANE17110143</t>
  </si>
  <si>
    <t>Muhammad Pajrianor</t>
  </si>
  <si>
    <t>LANLANE24090144</t>
  </si>
  <si>
    <t>Muhammad Refayannor</t>
  </si>
  <si>
    <t>LANLANE23070145</t>
  </si>
  <si>
    <t>MUHAMMAD RIZA</t>
  </si>
  <si>
    <t>LANLANE25040146</t>
  </si>
  <si>
    <t>MUHAMMAD SANDI WARDANY</t>
  </si>
  <si>
    <t>LANLANE07450099</t>
  </si>
  <si>
    <t>MUHAZIM</t>
  </si>
  <si>
    <t>LANLANE23120147</t>
  </si>
  <si>
    <t>Muhazir</t>
  </si>
  <si>
    <t>LANLANE08250001</t>
  </si>
  <si>
    <t>MUHLI</t>
  </si>
  <si>
    <t>LANLANE25060148</t>
  </si>
  <si>
    <t>MUJAIDI</t>
  </si>
  <si>
    <t>LANLANE25060149</t>
  </si>
  <si>
    <t>MULDI</t>
  </si>
  <si>
    <t>LANLANE21080151</t>
  </si>
  <si>
    <t>Murni</t>
  </si>
  <si>
    <t>LANLANE25060154</t>
  </si>
  <si>
    <t>NASRULLAH</t>
  </si>
  <si>
    <t>LANLANE18050153</t>
  </si>
  <si>
    <t>Nasrullah</t>
  </si>
  <si>
    <t>LANLANE24110155</t>
  </si>
  <si>
    <t>NELSON SOARES</t>
  </si>
  <si>
    <t>LANLANE07450151</t>
  </si>
  <si>
    <t>NENI HIDAYANI</t>
  </si>
  <si>
    <t>LANLANE25060156</t>
  </si>
  <si>
    <t>NOR AIDA</t>
  </si>
  <si>
    <t>LANLANE25060157</t>
  </si>
  <si>
    <t>NOR LAILA</t>
  </si>
  <si>
    <t>LANLANE07900070</t>
  </si>
  <si>
    <t>NOVRIANUS</t>
  </si>
  <si>
    <t>LANLANE25050158</t>
  </si>
  <si>
    <t>NUGROHO GALIH PRASETYO</t>
  </si>
  <si>
    <t>LANLANE07450152</t>
  </si>
  <si>
    <t>NUR AIDAYANTI</t>
  </si>
  <si>
    <t>LANLANE19090159</t>
  </si>
  <si>
    <t>NUR KHOIRUL ANWAR</t>
  </si>
  <si>
    <t>LANLANE25060160</t>
  </si>
  <si>
    <t>NURMUKALAM RISQI</t>
  </si>
  <si>
    <t>LANLANE17110161</t>
  </si>
  <si>
    <t>NURSAMSIATUN</t>
  </si>
  <si>
    <t>LANLANE25040162</t>
  </si>
  <si>
    <t>NURSI</t>
  </si>
  <si>
    <t>LANLANE14080163</t>
  </si>
  <si>
    <t>NURUL SITI HOTIJAH</t>
  </si>
  <si>
    <t>LANLANE09250242</t>
  </si>
  <si>
    <t>NYUMAJI</t>
  </si>
  <si>
    <t>LANLANE12060164</t>
  </si>
  <si>
    <t>PAELAN</t>
  </si>
  <si>
    <t>LANLANE25060165</t>
  </si>
  <si>
    <t>PAISAH</t>
  </si>
  <si>
    <t>LANLANE25010166</t>
  </si>
  <si>
    <t>PAJAR SUSANTO</t>
  </si>
  <si>
    <t>LANLANE25060167</t>
  </si>
  <si>
    <t>PATIMAH</t>
  </si>
  <si>
    <t>LANLANE06960063</t>
  </si>
  <si>
    <t>PENDI PRADANA</t>
  </si>
  <si>
    <t>LANLANE25010168</t>
  </si>
  <si>
    <t>LANLANE07450153</t>
  </si>
  <si>
    <t>PETA GOSEN</t>
  </si>
  <si>
    <t>LANLANE15060169</t>
  </si>
  <si>
    <t>Ponimin</t>
  </si>
  <si>
    <t>LANLANE21060170</t>
  </si>
  <si>
    <t>Pujiono</t>
  </si>
  <si>
    <t>LANLANE25060171</t>
  </si>
  <si>
    <t>RABIYATUL</t>
  </si>
  <si>
    <t>LANLANE01990092</t>
  </si>
  <si>
    <t>RACHMAD ADE PALUPI</t>
  </si>
  <si>
    <t>Kerani Legal</t>
  </si>
  <si>
    <t>LANLANE07450089</t>
  </si>
  <si>
    <t>Rafi I Nazari</t>
  </si>
  <si>
    <t>LANLANE23060173</t>
  </si>
  <si>
    <t>Rahmat</t>
  </si>
  <si>
    <t>LANLANE12110174</t>
  </si>
  <si>
    <t>RAHMAT REZALI</t>
  </si>
  <si>
    <t>LANLANE07450154</t>
  </si>
  <si>
    <t>RAHMAWATI</t>
  </si>
  <si>
    <t>CARCARE12120194</t>
  </si>
  <si>
    <t>RAMDAN</t>
  </si>
  <si>
    <t>LANLANE95030175</t>
  </si>
  <si>
    <t>RAMIN</t>
  </si>
  <si>
    <t>LANLANE07450156</t>
  </si>
  <si>
    <t>RANGGA</t>
  </si>
  <si>
    <t>LANLANE25060176</t>
  </si>
  <si>
    <t>RANIAH</t>
  </si>
  <si>
    <t>LANLANE25060177</t>
  </si>
  <si>
    <t>REME</t>
  </si>
  <si>
    <t>LANLANE18090178</t>
  </si>
  <si>
    <t>Rendy Alfian</t>
  </si>
  <si>
    <t>OPERATOR ALAT BERAT</t>
  </si>
  <si>
    <t>LANLANE24010179</t>
  </si>
  <si>
    <t>Rendy Priyanto Nenohai</t>
  </si>
  <si>
    <t>LANLANE25060180</t>
  </si>
  <si>
    <t>RICKY RIFAI</t>
  </si>
  <si>
    <t>LANLANE25070181</t>
  </si>
  <si>
    <t>RIDO SAPUTRA</t>
  </si>
  <si>
    <t>LANLANE12920059</t>
  </si>
  <si>
    <t>RIJALAN</t>
  </si>
  <si>
    <t>LANLANE25060182</t>
  </si>
  <si>
    <t>RIKSA SETIAWAN</t>
  </si>
  <si>
    <t>LANLANE08250007</t>
  </si>
  <si>
    <t>RIYANTO</t>
  </si>
  <si>
    <t>LANLANE22010183</t>
  </si>
  <si>
    <t>RIZKI NUR FADILA</t>
  </si>
  <si>
    <t>LANLANE09250006</t>
  </si>
  <si>
    <t>RODI EFRANTUS SABAAT</t>
  </si>
  <si>
    <t>LANLANE21070185</t>
  </si>
  <si>
    <t>Rohan</t>
  </si>
  <si>
    <t>LANLANE17020186</t>
  </si>
  <si>
    <t>ROIS ARIF</t>
  </si>
  <si>
    <t>Pelaksana Mekanik</t>
  </si>
  <si>
    <t>LANLANE07450159</t>
  </si>
  <si>
    <t>ROKI</t>
  </si>
  <si>
    <t>LANLANE21120187</t>
  </si>
  <si>
    <t>RUDIANTO</t>
  </si>
  <si>
    <t>LANLANE25060238</t>
  </si>
  <si>
    <t>RUSLAN</t>
  </si>
  <si>
    <t>LANLANE25060188</t>
  </si>
  <si>
    <t>SABIRIN</t>
  </si>
  <si>
    <t>LANLANE18030240</t>
  </si>
  <si>
    <t>SADDAM HUSEIN</t>
  </si>
  <si>
    <t>LANLANE24090189</t>
  </si>
  <si>
    <t>SAHAPUDIN</t>
  </si>
  <si>
    <t>LANLANE23040190</t>
  </si>
  <si>
    <t>Sahdan</t>
  </si>
  <si>
    <t>LANLANE24090191</t>
  </si>
  <si>
    <t>SAHDI HIDAYAT</t>
  </si>
  <si>
    <t>LANLANE09250241</t>
  </si>
  <si>
    <t>SAIMIN</t>
  </si>
  <si>
    <t>LANLANE21070192</t>
  </si>
  <si>
    <t>Saipul Bahri</t>
  </si>
  <si>
    <t>LANLANE09120193</t>
  </si>
  <si>
    <t>SALMAN</t>
  </si>
  <si>
    <t>LANLANE05020002</t>
  </si>
  <si>
    <t>Salman AL farisi</t>
  </si>
  <si>
    <t>LANLANE07450160</t>
  </si>
  <si>
    <t>SALMAWATI</t>
  </si>
  <si>
    <t>LANLANE07450090</t>
  </si>
  <si>
    <t>Samijem</t>
  </si>
  <si>
    <t>LANLANE12120194</t>
  </si>
  <si>
    <t>SAPRUYANI</t>
  </si>
  <si>
    <t>LANLANE25060195</t>
  </si>
  <si>
    <t>SARAH</t>
  </si>
  <si>
    <t>LANLANE18100196</t>
  </si>
  <si>
    <t>SIGIT PRIYADI</t>
  </si>
  <si>
    <t>LANLANE25060197</t>
  </si>
  <si>
    <t>SITI AISAH</t>
  </si>
  <si>
    <t>LANLANE07450091</t>
  </si>
  <si>
    <t>Siti Atiah</t>
  </si>
  <si>
    <t>LANLANE07450092</t>
  </si>
  <si>
    <t>Siti Musa ah</t>
  </si>
  <si>
    <t>LANLANE07450093</t>
  </si>
  <si>
    <t>Siti Muslimah</t>
  </si>
  <si>
    <t>LANLANE18030198</t>
  </si>
  <si>
    <t>Siti Noor Janah</t>
  </si>
  <si>
    <t>EMPLASMENT</t>
  </si>
  <si>
    <t>LANLANE25060199</t>
  </si>
  <si>
    <t>SITI NORHIDAYATI</t>
  </si>
  <si>
    <t>LANLANE07450162</t>
  </si>
  <si>
    <t>SLAMET SRIATI</t>
  </si>
  <si>
    <t>LANLANE07450094</t>
  </si>
  <si>
    <t>Sodik</t>
  </si>
  <si>
    <t>LANLANE19100200</t>
  </si>
  <si>
    <t>SOLEHAN</t>
  </si>
  <si>
    <t>LANLANE25060201</t>
  </si>
  <si>
    <t>SRI ROHANI</t>
  </si>
  <si>
    <t>LANLANE25060202</t>
  </si>
  <si>
    <t>SRI WAHYUNI</t>
  </si>
  <si>
    <t>LANLANE23080203</t>
  </si>
  <si>
    <t>SUBHAN SETIAJI</t>
  </si>
  <si>
    <t>LANLANE07450096</t>
  </si>
  <si>
    <t>Subroto</t>
  </si>
  <si>
    <t>LANLANE15030204</t>
  </si>
  <si>
    <t>SUDARJI</t>
  </si>
  <si>
    <t>LANLANE08120205</t>
  </si>
  <si>
    <t>SUGI</t>
  </si>
  <si>
    <t>LANLANE25070239</t>
  </si>
  <si>
    <t>SUHERMAN</t>
  </si>
  <si>
    <t>LANLANE24060206</t>
  </si>
  <si>
    <t>SUKIAH</t>
  </si>
  <si>
    <t>LANLANE07450097</t>
  </si>
  <si>
    <t>Sulastri</t>
  </si>
  <si>
    <t>LANLANE89110207</t>
  </si>
  <si>
    <t>SUMARNO</t>
  </si>
  <si>
    <t>LANLANE20120208</t>
  </si>
  <si>
    <t>SUMARTO</t>
  </si>
  <si>
    <t>LANLANE21120209</t>
  </si>
  <si>
    <t>Sunardi</t>
  </si>
  <si>
    <t>LANLANE25060210</t>
  </si>
  <si>
    <t>SUNARTI</t>
  </si>
  <si>
    <t>LANLANE23070211</t>
  </si>
  <si>
    <t>Supakli</t>
  </si>
  <si>
    <t>LANLANE08250006</t>
  </si>
  <si>
    <t>SUPARNO</t>
  </si>
  <si>
    <t>LANLANE13090212</t>
  </si>
  <si>
    <t>SUPRIANTO HAMZAH</t>
  </si>
  <si>
    <t>LANLANE09250005</t>
  </si>
  <si>
    <t>SUPRIYADI</t>
  </si>
  <si>
    <t>LANLANE07450098</t>
  </si>
  <si>
    <t>Susanto</t>
  </si>
  <si>
    <t>LANLANE21100213</t>
  </si>
  <si>
    <t>Suwardi</t>
  </si>
  <si>
    <t>LANLANE04910061</t>
  </si>
  <si>
    <t>SUYAHMIN</t>
  </si>
  <si>
    <t>LANLANE20040214</t>
  </si>
  <si>
    <t>SYAFRUDDIN ZUHRI</t>
  </si>
  <si>
    <t>LANLANE07450163</t>
  </si>
  <si>
    <t>SYAHRIAH</t>
  </si>
  <si>
    <t>LANLANE24040215</t>
  </si>
  <si>
    <t>SYAHRUL SA BANI</t>
  </si>
  <si>
    <t>LANLANE07450032</t>
  </si>
  <si>
    <t>SYAIFULLAH</t>
  </si>
  <si>
    <t>LANLANE25060216</t>
  </si>
  <si>
    <t>SYAMSUDIN</t>
  </si>
  <si>
    <t>LANLANE25010217</t>
  </si>
  <si>
    <t>SYARIFUDIN</t>
  </si>
  <si>
    <t>LANLANE21070218</t>
  </si>
  <si>
    <t>Syarwani</t>
  </si>
  <si>
    <t>LANLANE24010219</t>
  </si>
  <si>
    <t>Taufik Trasari</t>
  </si>
  <si>
    <t>LANLANE09250243</t>
  </si>
  <si>
    <t>TITIK KASIATI</t>
  </si>
  <si>
    <t>LANLANE23060220</t>
  </si>
  <si>
    <t>Toha</t>
  </si>
  <si>
    <t>LANLANE21120221</t>
  </si>
  <si>
    <t>TONY HIDAYAT</t>
  </si>
  <si>
    <t>LANLANE25060222</t>
  </si>
  <si>
    <t>TRIYA NURYADI</t>
  </si>
  <si>
    <t>LANLANE25060223</t>
  </si>
  <si>
    <t>UMAR WIRA</t>
  </si>
  <si>
    <t>LANLANE23090224</t>
  </si>
  <si>
    <t>USOLLI RIZKI ARNIS</t>
  </si>
  <si>
    <t>LANLANE04900057</t>
  </si>
  <si>
    <t>VIKTOR DAMIANUS UN</t>
  </si>
  <si>
    <t>LANLANE10950054</t>
  </si>
  <si>
    <t>VINSENSIUS MANEK KLAU</t>
  </si>
  <si>
    <t>LANLANE05020103</t>
  </si>
  <si>
    <t>WAHID ASPARI</t>
  </si>
  <si>
    <t>LANLANE19120225</t>
  </si>
  <si>
    <t>WAHYADI</t>
  </si>
  <si>
    <t>LANLANE02110226</t>
  </si>
  <si>
    <t>WASJURI</t>
  </si>
  <si>
    <t>LANLANE10120227</t>
  </si>
  <si>
    <t>Wawan Nurhadi</t>
  </si>
  <si>
    <t>LANLANE07450164</t>
  </si>
  <si>
    <t>WAWAN SULISTIYONO</t>
  </si>
  <si>
    <t>LANLANE18090228</t>
  </si>
  <si>
    <t>Widianto</t>
  </si>
  <si>
    <t>LANLANE25060229</t>
  </si>
  <si>
    <t>WIWIK PUJIATI</t>
  </si>
  <si>
    <t>LANLANE21100230</t>
  </si>
  <si>
    <t>Wiyono</t>
  </si>
  <si>
    <t>LANLANE07450165</t>
  </si>
  <si>
    <t>YASHRIL</t>
  </si>
  <si>
    <t>LANLANE21100231</t>
  </si>
  <si>
    <t>Yisrel Novian Nenohai</t>
  </si>
  <si>
    <t>LANLANE24060232</t>
  </si>
  <si>
    <t>YOHANES APRIANTO NAHAK</t>
  </si>
  <si>
    <t>LANLANE25040233</t>
  </si>
  <si>
    <t>YOHANES TAE SERAN</t>
  </si>
  <si>
    <t>LANLANE25020234</t>
  </si>
  <si>
    <t>YOYON ADI CAHYONO</t>
  </si>
  <si>
    <t>LANLANE07450036</t>
  </si>
  <si>
    <t>YUDI ALFARIZI</t>
  </si>
  <si>
    <t>LANLANE23060235</t>
  </si>
  <si>
    <t>YUFRA EDUARD MANU</t>
  </si>
  <si>
    <t>LANLANE07450166</t>
  </si>
  <si>
    <t>YULI</t>
  </si>
  <si>
    <t>LANLANE18030236</t>
  </si>
  <si>
    <t>YULI CRHISTYANI</t>
  </si>
  <si>
    <t>LANLANE16120237</t>
  </si>
  <si>
    <t>Zainal Abidin</t>
  </si>
  <si>
    <t>LANLANE07950071</t>
  </si>
  <si>
    <t>ZENDI HIRWANDI</t>
  </si>
  <si>
    <t>LANLANE10250253</t>
  </si>
  <si>
    <t>ZAENUDIN</t>
  </si>
  <si>
    <t>LANLANE10250250</t>
  </si>
  <si>
    <t>LANLANE10250252</t>
  </si>
  <si>
    <t>SAHNAN</t>
  </si>
  <si>
    <t>SAHWIN</t>
  </si>
  <si>
    <t>LANLANE10250251</t>
  </si>
  <si>
    <t>HAIRUDIN</t>
  </si>
  <si>
    <t>LANLANE12250261</t>
  </si>
  <si>
    <t>AL BRIA</t>
  </si>
  <si>
    <t>LANLANE12250259</t>
  </si>
  <si>
    <t>MUHRI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</si>
</sst>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  <xf numFmtId="1" fontId="0" fillId="0" borderId="10" xfId="0" applyNumberFormat="1" applyBorder="1" applyAlignment="1">
      <alignment wrapText="1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2026%20ANUGERAH\02.%20Afrek%20Februari%2026\02.%20PANEN%20ANUGERAH%20FEB%202026\02.%20PANEN%20ANUGERAH%20FEB%202026\AN%201\1.PANEN%20ANUGERAH%201%20FEB%20'2026%20-%20Copy.xlsx" TargetMode="External"/><Relationship Id="rId1" Type="http://schemas.openxmlformats.org/officeDocument/2006/relationships/externalLinkPath" Target="/2026%20ANUGERAH/02.%20Afrek%20Februari%2026/02.%20PANEN%20ANUGERAH%20FEB%202026/02.%20PANEN%20ANUGERAH%20FEB%202026/AN%201/1.PANEN%20ANUGERAH%201%20FEB%20'2026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FTAR GAJI (2)"/>
      <sheetName val="Roll"/>
      <sheetName val="Ga Pake"/>
      <sheetName val="SB"/>
      <sheetName val="Rincian"/>
      <sheetName val="DAFTAR GAJI"/>
      <sheetName val="Rinc Premi"/>
      <sheetName val="Premi"/>
      <sheetName val="DENDA"/>
      <sheetName val="BOYANN"/>
      <sheetName val="Sheet1"/>
      <sheetName val="Kitiran"/>
    </sheetNames>
    <sheetDataSet>
      <sheetData sheetId="0"/>
      <sheetData sheetId="1"/>
      <sheetData sheetId="2"/>
      <sheetData sheetId="3"/>
      <sheetData sheetId="4"/>
      <sheetData sheetId="5">
        <row r="8">
          <cell r="B8" t="str">
            <v>LANLANE21070129</v>
          </cell>
          <cell r="C8">
            <v>1</v>
          </cell>
          <cell r="D8" t="str">
            <v>MOH ISMAIL</v>
          </cell>
          <cell r="E8" t="str">
            <v>K2</v>
          </cell>
          <cell r="F8" t="str">
            <v>6301071404710001</v>
          </cell>
          <cell r="G8">
            <v>0</v>
          </cell>
          <cell r="H8">
            <v>1</v>
          </cell>
          <cell r="I8">
            <v>1</v>
          </cell>
          <cell r="J8">
            <v>1</v>
          </cell>
          <cell r="K8">
            <v>1</v>
          </cell>
          <cell r="L8" t="str">
            <v>M</v>
          </cell>
          <cell r="M8">
            <v>1</v>
          </cell>
          <cell r="N8">
            <v>0</v>
          </cell>
          <cell r="O8">
            <v>1</v>
          </cell>
          <cell r="P8">
            <v>1</v>
          </cell>
          <cell r="Q8">
            <v>1</v>
          </cell>
          <cell r="R8">
            <v>0.61</v>
          </cell>
          <cell r="S8" t="str">
            <v>S</v>
          </cell>
          <cell r="T8">
            <v>0.82</v>
          </cell>
          <cell r="U8">
            <v>0</v>
          </cell>
          <cell r="V8">
            <v>1</v>
          </cell>
          <cell r="W8">
            <v>0.7</v>
          </cell>
          <cell r="X8">
            <v>1</v>
          </cell>
          <cell r="Y8">
            <v>0</v>
          </cell>
          <cell r="Z8">
            <v>1</v>
          </cell>
          <cell r="AA8">
            <v>1</v>
          </cell>
          <cell r="AB8">
            <v>0</v>
          </cell>
          <cell r="AC8">
            <v>1</v>
          </cell>
          <cell r="AD8" t="str">
            <v>M</v>
          </cell>
          <cell r="AE8">
            <v>1</v>
          </cell>
          <cell r="AF8">
            <v>1</v>
          </cell>
          <cell r="AG8">
            <v>1</v>
          </cell>
          <cell r="AH8">
            <v>1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19.13</v>
          </cell>
          <cell r="AN8">
            <v>1</v>
          </cell>
          <cell r="AO8">
            <v>1</v>
          </cell>
          <cell r="AQ8">
            <v>1</v>
          </cell>
          <cell r="AS8">
            <v>2</v>
          </cell>
          <cell r="AU8">
            <v>22.13</v>
          </cell>
          <cell r="AV8">
            <v>682000</v>
          </cell>
          <cell r="AW8">
            <v>154998</v>
          </cell>
          <cell r="AX8">
            <v>90320</v>
          </cell>
          <cell r="AZ8">
            <v>2530440.36</v>
          </cell>
          <cell r="BA8">
            <v>139572</v>
          </cell>
          <cell r="BB8">
            <v>139572</v>
          </cell>
          <cell r="BC8">
            <v>0</v>
          </cell>
          <cell r="BD8">
            <v>139572</v>
          </cell>
          <cell r="BF8">
            <v>3631156.36</v>
          </cell>
          <cell r="BG8">
            <v>1399886.08</v>
          </cell>
          <cell r="BH8">
            <v>0</v>
          </cell>
          <cell r="BI8">
            <v>1109326.08</v>
          </cell>
          <cell r="BJ8">
            <v>0</v>
          </cell>
          <cell r="BL8">
            <v>0</v>
          </cell>
          <cell r="BM8">
            <v>0</v>
          </cell>
          <cell r="BN8">
            <v>1280000</v>
          </cell>
          <cell r="BO8">
            <v>6020482.4399999995</v>
          </cell>
          <cell r="BP8">
            <v>241124</v>
          </cell>
          <cell r="BQ8">
            <v>40187.199999999997</v>
          </cell>
          <cell r="BR8">
            <v>317000</v>
          </cell>
          <cell r="BS8">
            <v>2896548</v>
          </cell>
          <cell r="BT8">
            <v>525000</v>
          </cell>
          <cell r="BU8">
            <v>10000</v>
          </cell>
          <cell r="BV8">
            <v>14375</v>
          </cell>
          <cell r="CA8">
            <v>5000</v>
          </cell>
          <cell r="CC8">
            <v>700000</v>
          </cell>
          <cell r="CE8">
            <v>1271248.2399999993</v>
          </cell>
        </row>
        <row r="9">
          <cell r="B9" t="str">
            <v>LANLANE23070211</v>
          </cell>
          <cell r="C9">
            <v>2</v>
          </cell>
          <cell r="D9" t="str">
            <v>SUPKLI</v>
          </cell>
          <cell r="E9" t="str">
            <v>K2</v>
          </cell>
          <cell r="F9" t="str">
            <v>5203030107821261</v>
          </cell>
          <cell r="G9">
            <v>0</v>
          </cell>
          <cell r="H9">
            <v>1</v>
          </cell>
          <cell r="I9">
            <v>0.75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0</v>
          </cell>
          <cell r="O9">
            <v>1</v>
          </cell>
          <cell r="P9">
            <v>1</v>
          </cell>
          <cell r="Q9" t="str">
            <v>S</v>
          </cell>
          <cell r="R9">
            <v>0.92</v>
          </cell>
          <cell r="S9">
            <v>0.83</v>
          </cell>
          <cell r="T9">
            <v>0.59</v>
          </cell>
          <cell r="U9">
            <v>0</v>
          </cell>
          <cell r="V9">
            <v>1</v>
          </cell>
          <cell r="W9">
            <v>1</v>
          </cell>
          <cell r="X9">
            <v>0.71</v>
          </cell>
          <cell r="Y9">
            <v>0</v>
          </cell>
          <cell r="Z9">
            <v>0.6</v>
          </cell>
          <cell r="AA9">
            <v>1</v>
          </cell>
          <cell r="AB9">
            <v>0</v>
          </cell>
          <cell r="AC9">
            <v>1</v>
          </cell>
          <cell r="AD9">
            <v>1</v>
          </cell>
          <cell r="AE9">
            <v>0.79</v>
          </cell>
          <cell r="AF9">
            <v>0.89</v>
          </cell>
          <cell r="AG9">
            <v>1</v>
          </cell>
          <cell r="AH9" t="str">
            <v>M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19.079999999999998</v>
          </cell>
          <cell r="AN9">
            <v>1</v>
          </cell>
          <cell r="AO9">
            <v>1</v>
          </cell>
          <cell r="AQ9">
            <v>1</v>
          </cell>
          <cell r="AU9">
            <v>22.08</v>
          </cell>
          <cell r="AV9">
            <v>713000</v>
          </cell>
          <cell r="AW9">
            <v>162545.16</v>
          </cell>
          <cell r="AX9">
            <v>90320</v>
          </cell>
          <cell r="AZ9">
            <v>2523461.7599999998</v>
          </cell>
          <cell r="BA9">
            <v>139572</v>
          </cell>
          <cell r="BB9">
            <v>139572</v>
          </cell>
          <cell r="BC9">
            <v>0</v>
          </cell>
          <cell r="BD9">
            <v>139572</v>
          </cell>
          <cell r="BF9">
            <v>3655177.76</v>
          </cell>
          <cell r="BG9">
            <v>1078161.9199999999</v>
          </cell>
          <cell r="BH9">
            <v>0</v>
          </cell>
          <cell r="BI9">
            <v>782406.4</v>
          </cell>
          <cell r="BJ9">
            <v>28849.920000000013</v>
          </cell>
          <cell r="BL9">
            <v>28849.920000000013</v>
          </cell>
          <cell r="BM9">
            <v>0</v>
          </cell>
          <cell r="BN9">
            <v>1430000</v>
          </cell>
          <cell r="BO9">
            <v>5896434.0800000001</v>
          </cell>
          <cell r="BP9">
            <v>120562</v>
          </cell>
          <cell r="BQ9">
            <v>40187.199999999997</v>
          </cell>
          <cell r="BS9">
            <v>1054000</v>
          </cell>
          <cell r="BU9">
            <v>10000</v>
          </cell>
          <cell r="BV9">
            <v>74166.666666666672</v>
          </cell>
          <cell r="CA9">
            <v>5000</v>
          </cell>
          <cell r="CB9">
            <v>10000</v>
          </cell>
          <cell r="CC9">
            <v>200000</v>
          </cell>
          <cell r="CE9">
            <v>4382518.2133333329</v>
          </cell>
        </row>
        <row r="10">
          <cell r="B10" t="str">
            <v>LANLANE10250251</v>
          </cell>
          <cell r="C10">
            <v>3</v>
          </cell>
          <cell r="D10" t="str">
            <v>HAIRUDIN</v>
          </cell>
          <cell r="E10" t="str">
            <v>THL</v>
          </cell>
          <cell r="F10" t="str">
            <v>5203040107780520</v>
          </cell>
          <cell r="G10">
            <v>0</v>
          </cell>
          <cell r="H10">
            <v>1</v>
          </cell>
          <cell r="I10">
            <v>1</v>
          </cell>
          <cell r="J10">
            <v>0.81</v>
          </cell>
          <cell r="K10">
            <v>0.94</v>
          </cell>
          <cell r="L10">
            <v>1</v>
          </cell>
          <cell r="M10">
            <v>1</v>
          </cell>
          <cell r="N10">
            <v>0</v>
          </cell>
          <cell r="O10" t="str">
            <v>OFF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5.75</v>
          </cell>
          <cell r="AN10">
            <v>0</v>
          </cell>
          <cell r="AU10">
            <v>5.75</v>
          </cell>
          <cell r="AV10">
            <v>0</v>
          </cell>
          <cell r="AW10">
            <v>110395.2</v>
          </cell>
          <cell r="AX10">
            <v>90320</v>
          </cell>
          <cell r="AZ10">
            <v>857900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F10">
            <v>857900</v>
          </cell>
          <cell r="BG10">
            <v>196957.44000000003</v>
          </cell>
          <cell r="BH10">
            <v>0</v>
          </cell>
          <cell r="BI10">
            <v>126209.28000000003</v>
          </cell>
          <cell r="BJ10">
            <v>0</v>
          </cell>
          <cell r="BL10">
            <v>0</v>
          </cell>
          <cell r="BM10">
            <v>0</v>
          </cell>
          <cell r="BN10">
            <v>400000</v>
          </cell>
          <cell r="BO10">
            <v>1384109.28</v>
          </cell>
          <cell r="BR10">
            <v>15000</v>
          </cell>
          <cell r="BS10">
            <v>37500</v>
          </cell>
          <cell r="CA10">
            <v>5000</v>
          </cell>
          <cell r="CD10">
            <v>387500</v>
          </cell>
          <cell r="CE10">
            <v>939109.28</v>
          </cell>
        </row>
        <row r="11">
          <cell r="C11">
            <v>4</v>
          </cell>
          <cell r="D11">
            <v>0</v>
          </cell>
          <cell r="E11" t="str">
            <v>K2</v>
          </cell>
          <cell r="F11" t="str">
            <v>3511170301820001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U11">
            <v>0</v>
          </cell>
          <cell r="AV11">
            <v>0</v>
          </cell>
          <cell r="AW11">
            <v>110395.2</v>
          </cell>
          <cell r="AX11">
            <v>90320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CE11">
            <v>0</v>
          </cell>
        </row>
        <row r="12">
          <cell r="B12" t="str">
            <v>LANLANE21070103</v>
          </cell>
          <cell r="C12">
            <v>5</v>
          </cell>
          <cell r="D12" t="str">
            <v>JUMADIL</v>
          </cell>
          <cell r="E12" t="str">
            <v>K2</v>
          </cell>
          <cell r="F12" t="str">
            <v>6309042708760002</v>
          </cell>
          <cell r="G12">
            <v>0</v>
          </cell>
          <cell r="H12" t="str">
            <v>S</v>
          </cell>
          <cell r="I12" t="str">
            <v>S</v>
          </cell>
          <cell r="J12" t="str">
            <v>S</v>
          </cell>
          <cell r="K12" t="str">
            <v>S</v>
          </cell>
          <cell r="L12" t="str">
            <v>S</v>
          </cell>
          <cell r="M12" t="str">
            <v>S</v>
          </cell>
          <cell r="N12">
            <v>0</v>
          </cell>
          <cell r="O12" t="str">
            <v>S</v>
          </cell>
          <cell r="P12" t="str">
            <v>S</v>
          </cell>
          <cell r="Q12" t="str">
            <v>S</v>
          </cell>
          <cell r="R12" t="str">
            <v>S</v>
          </cell>
          <cell r="S12" t="str">
            <v>S</v>
          </cell>
          <cell r="T12" t="str">
            <v>S</v>
          </cell>
          <cell r="U12">
            <v>0</v>
          </cell>
          <cell r="V12" t="str">
            <v>S</v>
          </cell>
          <cell r="W12" t="str">
            <v>S</v>
          </cell>
          <cell r="X12" t="str">
            <v>S</v>
          </cell>
          <cell r="Y12">
            <v>0</v>
          </cell>
          <cell r="Z12" t="str">
            <v>S</v>
          </cell>
          <cell r="AA12" t="str">
            <v>S</v>
          </cell>
          <cell r="AB12">
            <v>0</v>
          </cell>
          <cell r="AC12" t="str">
            <v>S</v>
          </cell>
          <cell r="AD12" t="str">
            <v>S</v>
          </cell>
          <cell r="AE12" t="str">
            <v>S</v>
          </cell>
          <cell r="AF12" t="str">
            <v>S</v>
          </cell>
          <cell r="AG12" t="str">
            <v>S</v>
          </cell>
          <cell r="AH12" t="str">
            <v>S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1</v>
          </cell>
          <cell r="AQ12">
            <v>23</v>
          </cell>
          <cell r="AU12">
            <v>24</v>
          </cell>
          <cell r="AV12">
            <v>744000</v>
          </cell>
          <cell r="AW12">
            <v>164572.56</v>
          </cell>
          <cell r="AX12">
            <v>90320</v>
          </cell>
          <cell r="AZ12">
            <v>0</v>
          </cell>
          <cell r="BA12">
            <v>0</v>
          </cell>
          <cell r="BB12">
            <v>139572</v>
          </cell>
          <cell r="BC12">
            <v>0</v>
          </cell>
          <cell r="BD12">
            <v>3210156</v>
          </cell>
          <cell r="BF12">
            <v>4093728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4093728</v>
          </cell>
          <cell r="BP12">
            <v>120562</v>
          </cell>
          <cell r="BQ12">
            <v>40187.199999999997</v>
          </cell>
          <cell r="BS12">
            <v>266300</v>
          </cell>
          <cell r="BT12">
            <v>525000</v>
          </cell>
          <cell r="BU12">
            <v>10000</v>
          </cell>
          <cell r="BV12">
            <v>59875</v>
          </cell>
          <cell r="CA12">
            <v>5000</v>
          </cell>
          <cell r="CE12">
            <v>3066803.8</v>
          </cell>
        </row>
        <row r="13">
          <cell r="B13" t="str">
            <v>LANLANE21070192</v>
          </cell>
          <cell r="C13">
            <v>6</v>
          </cell>
          <cell r="D13" t="str">
            <v>SAIPUL BAHRI</v>
          </cell>
          <cell r="E13" t="str">
            <v>K1</v>
          </cell>
          <cell r="F13" t="str">
            <v>6301090102870005</v>
          </cell>
          <cell r="G13">
            <v>0</v>
          </cell>
          <cell r="H13">
            <v>0.92</v>
          </cell>
          <cell r="I13">
            <v>1</v>
          </cell>
          <cell r="J13">
            <v>0.64</v>
          </cell>
          <cell r="K13">
            <v>1</v>
          </cell>
          <cell r="L13">
            <v>1</v>
          </cell>
          <cell r="M13">
            <v>0.98</v>
          </cell>
          <cell r="N13">
            <v>0</v>
          </cell>
          <cell r="O13">
            <v>0.84</v>
          </cell>
          <cell r="P13">
            <v>0.99</v>
          </cell>
          <cell r="Q13">
            <v>0.28999999999999998</v>
          </cell>
          <cell r="R13">
            <v>0.43</v>
          </cell>
          <cell r="S13">
            <v>0.63</v>
          </cell>
          <cell r="T13">
            <v>0.56000000000000005</v>
          </cell>
          <cell r="U13">
            <v>0</v>
          </cell>
          <cell r="V13">
            <v>0.72</v>
          </cell>
          <cell r="W13">
            <v>0.95</v>
          </cell>
          <cell r="X13">
            <v>0.86</v>
          </cell>
          <cell r="Y13">
            <v>0</v>
          </cell>
          <cell r="Z13">
            <v>0.92</v>
          </cell>
          <cell r="AA13">
            <v>1</v>
          </cell>
          <cell r="AB13">
            <v>0</v>
          </cell>
          <cell r="AC13">
            <v>1</v>
          </cell>
          <cell r="AD13">
            <v>0.26</v>
          </cell>
          <cell r="AE13">
            <v>1</v>
          </cell>
          <cell r="AF13">
            <v>0.87</v>
          </cell>
          <cell r="AG13">
            <v>0.84</v>
          </cell>
          <cell r="AH13">
            <v>1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18.700000000000003</v>
          </cell>
          <cell r="AN13">
            <v>1</v>
          </cell>
          <cell r="AO13">
            <v>1</v>
          </cell>
          <cell r="AU13">
            <v>20.700000000000003</v>
          </cell>
          <cell r="AV13">
            <v>589000.00000000012</v>
          </cell>
          <cell r="AZ13">
            <v>2470424.3999999994</v>
          </cell>
          <cell r="BA13">
            <v>139572</v>
          </cell>
          <cell r="BB13">
            <v>139572</v>
          </cell>
          <cell r="BC13">
            <v>0</v>
          </cell>
          <cell r="BD13">
            <v>0</v>
          </cell>
          <cell r="BF13">
            <v>3338568.3999999994</v>
          </cell>
          <cell r="BG13">
            <v>108259.83999999997</v>
          </cell>
          <cell r="BH13">
            <v>0</v>
          </cell>
          <cell r="BI13">
            <v>41872.639999999985</v>
          </cell>
          <cell r="BJ13">
            <v>0</v>
          </cell>
          <cell r="BL13">
            <v>0</v>
          </cell>
          <cell r="BM13">
            <v>0</v>
          </cell>
          <cell r="BN13">
            <v>830000</v>
          </cell>
          <cell r="BO13">
            <v>4210441.0399999991</v>
          </cell>
          <cell r="BP13">
            <v>115912</v>
          </cell>
          <cell r="BQ13">
            <v>38637.199999999997</v>
          </cell>
          <cell r="BR13">
            <v>256000</v>
          </cell>
          <cell r="BS13">
            <v>1466865</v>
          </cell>
          <cell r="BT13">
            <v>1050000</v>
          </cell>
          <cell r="BU13">
            <v>10000</v>
          </cell>
          <cell r="BV13">
            <v>15416.666666666666</v>
          </cell>
          <cell r="CA13">
            <v>5000</v>
          </cell>
          <cell r="CC13">
            <v>250000</v>
          </cell>
          <cell r="CE13">
            <v>1002610.1733333324</v>
          </cell>
        </row>
        <row r="14">
          <cell r="B14" t="str">
            <v>LANLANE24010179</v>
          </cell>
          <cell r="C14">
            <v>7</v>
          </cell>
          <cell r="D14" t="str">
            <v>RENDY PRIYANTO NENOHAI</v>
          </cell>
          <cell r="E14" t="str">
            <v>THL/K0</v>
          </cell>
          <cell r="F14" t="str">
            <v>5301100306030001</v>
          </cell>
          <cell r="G14">
            <v>0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1</v>
          </cell>
          <cell r="M14">
            <v>1</v>
          </cell>
          <cell r="N14">
            <v>0</v>
          </cell>
          <cell r="O14">
            <v>1</v>
          </cell>
          <cell r="P14">
            <v>1</v>
          </cell>
          <cell r="Q14">
            <v>1</v>
          </cell>
          <cell r="R14">
            <v>0.59</v>
          </cell>
          <cell r="S14">
            <v>0.93</v>
          </cell>
          <cell r="T14">
            <v>0.7</v>
          </cell>
          <cell r="U14">
            <v>0</v>
          </cell>
          <cell r="V14">
            <v>0.98</v>
          </cell>
          <cell r="W14">
            <v>0.81</v>
          </cell>
          <cell r="X14">
            <v>1</v>
          </cell>
          <cell r="Y14">
            <v>0</v>
          </cell>
          <cell r="Z14">
            <v>1</v>
          </cell>
          <cell r="AA14">
            <v>1</v>
          </cell>
          <cell r="AB14">
            <v>0</v>
          </cell>
          <cell r="AC14">
            <v>1</v>
          </cell>
          <cell r="AD14">
            <v>1</v>
          </cell>
          <cell r="AE14">
            <v>1</v>
          </cell>
          <cell r="AF14">
            <v>1</v>
          </cell>
          <cell r="AG14">
            <v>1</v>
          </cell>
          <cell r="AH14">
            <v>0.91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21.919999999999998</v>
          </cell>
          <cell r="AN14">
            <v>1</v>
          </cell>
          <cell r="AU14">
            <v>22.919999999999998</v>
          </cell>
          <cell r="AV14">
            <v>0</v>
          </cell>
          <cell r="AZ14">
            <v>3121264</v>
          </cell>
          <cell r="BA14">
            <v>149200</v>
          </cell>
          <cell r="BB14">
            <v>0</v>
          </cell>
          <cell r="BC14">
            <v>0</v>
          </cell>
          <cell r="BD14">
            <v>0</v>
          </cell>
          <cell r="BF14">
            <v>3270464</v>
          </cell>
          <cell r="BG14">
            <v>1191537.9200000002</v>
          </cell>
          <cell r="BH14">
            <v>0</v>
          </cell>
          <cell r="BI14">
            <v>907248.6399999999</v>
          </cell>
          <cell r="BJ14">
            <v>0</v>
          </cell>
          <cell r="BL14">
            <v>0</v>
          </cell>
          <cell r="BM14">
            <v>0</v>
          </cell>
          <cell r="BN14">
            <v>1285000</v>
          </cell>
          <cell r="BO14">
            <v>5462712.6399999997</v>
          </cell>
          <cell r="BQ14">
            <v>34982</v>
          </cell>
          <cell r="BR14">
            <v>15000</v>
          </cell>
          <cell r="BU14">
            <v>10000</v>
          </cell>
          <cell r="CA14">
            <v>5000</v>
          </cell>
          <cell r="CE14">
            <v>5397730.6399999997</v>
          </cell>
        </row>
        <row r="15">
          <cell r="B15" t="str">
            <v>LANLANE12250261</v>
          </cell>
          <cell r="C15">
            <v>8</v>
          </cell>
          <cell r="D15" t="str">
            <v>AL BRIA</v>
          </cell>
          <cell r="E15" t="str">
            <v>THL/K-1</v>
          </cell>
          <cell r="F15" t="str">
            <v>5203040703870001</v>
          </cell>
          <cell r="G15">
            <v>0</v>
          </cell>
          <cell r="H15">
            <v>1</v>
          </cell>
          <cell r="I15">
            <v>1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0</v>
          </cell>
          <cell r="O15">
            <v>1</v>
          </cell>
          <cell r="P15">
            <v>0.9</v>
          </cell>
          <cell r="Q15" t="str">
            <v>S</v>
          </cell>
          <cell r="R15">
            <v>1</v>
          </cell>
          <cell r="S15">
            <v>1</v>
          </cell>
          <cell r="T15">
            <v>1</v>
          </cell>
          <cell r="U15">
            <v>0</v>
          </cell>
          <cell r="V15">
            <v>1</v>
          </cell>
          <cell r="W15">
            <v>1</v>
          </cell>
          <cell r="X15">
            <v>1</v>
          </cell>
          <cell r="Y15">
            <v>0</v>
          </cell>
          <cell r="Z15">
            <v>1</v>
          </cell>
          <cell r="AA15">
            <v>1</v>
          </cell>
          <cell r="AB15">
            <v>0</v>
          </cell>
          <cell r="AC15">
            <v>1</v>
          </cell>
          <cell r="AD15">
            <v>1</v>
          </cell>
          <cell r="AE15">
            <v>1</v>
          </cell>
          <cell r="AF15">
            <v>1</v>
          </cell>
          <cell r="AG15">
            <v>1</v>
          </cell>
          <cell r="AH15">
            <v>1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21.9</v>
          </cell>
          <cell r="AN15">
            <v>1</v>
          </cell>
          <cell r="AQ15">
            <v>1</v>
          </cell>
          <cell r="AU15">
            <v>23.9</v>
          </cell>
          <cell r="AV15">
            <v>0</v>
          </cell>
          <cell r="AZ15">
            <v>3118280</v>
          </cell>
          <cell r="BA15">
            <v>149200</v>
          </cell>
          <cell r="BB15">
            <v>0</v>
          </cell>
          <cell r="BC15">
            <v>0</v>
          </cell>
          <cell r="BD15">
            <v>149200</v>
          </cell>
          <cell r="BF15">
            <v>3416680</v>
          </cell>
          <cell r="BG15">
            <v>3369002.24</v>
          </cell>
          <cell r="BH15">
            <v>0</v>
          </cell>
          <cell r="BI15">
            <v>2669246.7199999997</v>
          </cell>
          <cell r="BJ15">
            <v>90987.520000000019</v>
          </cell>
          <cell r="BL15">
            <v>90987.520000000019</v>
          </cell>
          <cell r="BM15">
            <v>0</v>
          </cell>
          <cell r="BN15">
            <v>2435000</v>
          </cell>
          <cell r="BO15">
            <v>8611914.2400000002</v>
          </cell>
          <cell r="BR15">
            <v>200000</v>
          </cell>
          <cell r="BS15">
            <v>1831137</v>
          </cell>
          <cell r="CA15">
            <v>5000</v>
          </cell>
          <cell r="CC15">
            <v>200000</v>
          </cell>
          <cell r="CE15">
            <v>6375777.2400000002</v>
          </cell>
        </row>
        <row r="16">
          <cell r="B16" t="str">
            <v>LANLANE21100231</v>
          </cell>
          <cell r="C16">
            <v>9</v>
          </cell>
          <cell r="D16" t="str">
            <v>YISREL NOVIAN NENOHAI</v>
          </cell>
          <cell r="E16" t="str">
            <v>TK/TK0</v>
          </cell>
          <cell r="F16" t="str">
            <v>5301101404000002</v>
          </cell>
          <cell r="G16">
            <v>0</v>
          </cell>
          <cell r="H16">
            <v>1</v>
          </cell>
          <cell r="I16">
            <v>1</v>
          </cell>
          <cell r="J16">
            <v>1</v>
          </cell>
          <cell r="K16">
            <v>1</v>
          </cell>
          <cell r="L16">
            <v>1</v>
          </cell>
          <cell r="M16">
            <v>1</v>
          </cell>
          <cell r="N16">
            <v>0</v>
          </cell>
          <cell r="O16">
            <v>1</v>
          </cell>
          <cell r="P16">
            <v>1</v>
          </cell>
          <cell r="Q16">
            <v>1</v>
          </cell>
          <cell r="R16">
            <v>0.56999999999999995</v>
          </cell>
          <cell r="S16">
            <v>0.9</v>
          </cell>
          <cell r="T16">
            <v>0.72</v>
          </cell>
          <cell r="U16">
            <v>0</v>
          </cell>
          <cell r="V16">
            <v>0.98</v>
          </cell>
          <cell r="W16">
            <v>0.81</v>
          </cell>
          <cell r="X16">
            <v>1</v>
          </cell>
          <cell r="Y16">
            <v>0</v>
          </cell>
          <cell r="Z16">
            <v>1</v>
          </cell>
          <cell r="AA16">
            <v>1</v>
          </cell>
          <cell r="AB16">
            <v>0</v>
          </cell>
          <cell r="AC16">
            <v>1</v>
          </cell>
          <cell r="AD16">
            <v>1</v>
          </cell>
          <cell r="AE16">
            <v>1</v>
          </cell>
          <cell r="AF16">
            <v>1</v>
          </cell>
          <cell r="AG16">
            <v>1</v>
          </cell>
          <cell r="AH16">
            <v>0.91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21.890000000000004</v>
          </cell>
          <cell r="AN16">
            <v>1</v>
          </cell>
          <cell r="AO16">
            <v>1</v>
          </cell>
          <cell r="AU16">
            <v>23.890000000000004</v>
          </cell>
          <cell r="AV16">
            <v>248000.00000000009</v>
          </cell>
          <cell r="AW16">
            <v>143173.68</v>
          </cell>
          <cell r="AX16">
            <v>90320</v>
          </cell>
          <cell r="AZ16">
            <v>2915659.08</v>
          </cell>
          <cell r="BA16">
            <v>139572</v>
          </cell>
          <cell r="BB16">
            <v>139572</v>
          </cell>
          <cell r="BC16">
            <v>0</v>
          </cell>
          <cell r="BD16">
            <v>0</v>
          </cell>
          <cell r="BF16">
            <v>3442803.08</v>
          </cell>
          <cell r="BG16">
            <v>1221457.9199999999</v>
          </cell>
          <cell r="BH16">
            <v>0</v>
          </cell>
          <cell r="BI16">
            <v>932359.68000000005</v>
          </cell>
          <cell r="BJ16">
            <v>0</v>
          </cell>
          <cell r="BL16">
            <v>0</v>
          </cell>
          <cell r="BM16">
            <v>0</v>
          </cell>
          <cell r="BN16">
            <v>1305000</v>
          </cell>
          <cell r="BO16">
            <v>5680162.7599999998</v>
          </cell>
          <cell r="BP16">
            <v>105682</v>
          </cell>
          <cell r="BQ16">
            <v>35227.199999999997</v>
          </cell>
          <cell r="BR16">
            <v>15000</v>
          </cell>
          <cell r="BS16">
            <v>114000</v>
          </cell>
          <cell r="BV16">
            <v>15416.666666666666</v>
          </cell>
          <cell r="CA16">
            <v>5000</v>
          </cell>
          <cell r="CC16">
            <v>100000</v>
          </cell>
          <cell r="CE16">
            <v>5289836.8933333335</v>
          </cell>
        </row>
        <row r="17">
          <cell r="B17" t="str">
            <v>LANLANE24060232</v>
          </cell>
          <cell r="C17">
            <v>10</v>
          </cell>
          <cell r="D17" t="str">
            <v>YOHANES APRIANTO NAHAK</v>
          </cell>
          <cell r="E17" t="str">
            <v>THL/TK-0</v>
          </cell>
          <cell r="F17" t="str">
            <v>5321010904050001</v>
          </cell>
          <cell r="G17">
            <v>0</v>
          </cell>
          <cell r="H17" t="str">
            <v>M</v>
          </cell>
          <cell r="I17">
            <v>1</v>
          </cell>
          <cell r="J17">
            <v>0.84</v>
          </cell>
          <cell r="K17">
            <v>1</v>
          </cell>
          <cell r="L17">
            <v>0.59</v>
          </cell>
          <cell r="M17">
            <v>0.93</v>
          </cell>
          <cell r="N17">
            <v>0</v>
          </cell>
          <cell r="O17">
            <v>1</v>
          </cell>
          <cell r="P17" t="str">
            <v>M</v>
          </cell>
          <cell r="Q17">
            <v>0.78</v>
          </cell>
          <cell r="R17">
            <v>0.66</v>
          </cell>
          <cell r="S17">
            <v>0.72</v>
          </cell>
          <cell r="T17">
            <v>0.42</v>
          </cell>
          <cell r="U17">
            <v>0</v>
          </cell>
          <cell r="V17">
            <v>0.65</v>
          </cell>
          <cell r="W17">
            <v>1</v>
          </cell>
          <cell r="X17" t="str">
            <v>S</v>
          </cell>
          <cell r="Y17">
            <v>0</v>
          </cell>
          <cell r="Z17">
            <v>0.59</v>
          </cell>
          <cell r="AA17">
            <v>1</v>
          </cell>
          <cell r="AB17">
            <v>0</v>
          </cell>
          <cell r="AC17">
            <v>1</v>
          </cell>
          <cell r="AD17">
            <v>0.77</v>
          </cell>
          <cell r="AE17">
            <v>1</v>
          </cell>
          <cell r="AF17">
            <v>0.72076666666666678</v>
          </cell>
          <cell r="AG17">
            <v>1</v>
          </cell>
          <cell r="AH17">
            <v>0.95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16.620766666666665</v>
          </cell>
          <cell r="AN17">
            <v>1</v>
          </cell>
          <cell r="AQ17">
            <v>1</v>
          </cell>
          <cell r="AS17">
            <v>2</v>
          </cell>
          <cell r="AU17">
            <v>18.620766666666665</v>
          </cell>
          <cell r="AV17">
            <v>0</v>
          </cell>
          <cell r="AZ17">
            <v>2330618.3866666667</v>
          </cell>
          <cell r="BA17">
            <v>149200</v>
          </cell>
          <cell r="BB17">
            <v>0</v>
          </cell>
          <cell r="BC17">
            <v>0</v>
          </cell>
          <cell r="BD17">
            <v>149200</v>
          </cell>
          <cell r="BF17">
            <v>2629018.3866666667</v>
          </cell>
          <cell r="BG17">
            <v>452693.76000000007</v>
          </cell>
          <cell r="BH17">
            <v>0</v>
          </cell>
          <cell r="BI17">
            <v>359580.16000000003</v>
          </cell>
          <cell r="BJ17">
            <v>14959.359999999986</v>
          </cell>
          <cell r="BL17">
            <v>14959.359999999986</v>
          </cell>
          <cell r="BM17">
            <v>0</v>
          </cell>
          <cell r="BN17">
            <v>835000</v>
          </cell>
          <cell r="BO17">
            <v>3838557.9066666667</v>
          </cell>
          <cell r="BR17">
            <v>535000</v>
          </cell>
          <cell r="BS17">
            <v>1176152</v>
          </cell>
          <cell r="BU17">
            <v>10000</v>
          </cell>
          <cell r="BV17">
            <v>12500</v>
          </cell>
          <cell r="CA17">
            <v>5000</v>
          </cell>
          <cell r="CB17">
            <v>5000</v>
          </cell>
          <cell r="CC17">
            <v>500000</v>
          </cell>
          <cell r="CE17">
            <v>1594905.9066666667</v>
          </cell>
        </row>
        <row r="18">
          <cell r="B18" t="str">
            <v>LANLANE02260275</v>
          </cell>
          <cell r="C18">
            <v>11</v>
          </cell>
          <cell r="D18" t="str">
            <v>JUSMAN</v>
          </cell>
          <cell r="E18" t="str">
            <v>THL/TK-1</v>
          </cell>
          <cell r="F18" t="str">
            <v>5203043112950051</v>
          </cell>
          <cell r="G18">
            <v>0</v>
          </cell>
          <cell r="H18" t="str">
            <v>OFF</v>
          </cell>
          <cell r="N18">
            <v>0</v>
          </cell>
          <cell r="O18" t="str">
            <v>OFF</v>
          </cell>
          <cell r="U18">
            <v>0</v>
          </cell>
          <cell r="V18" t="str">
            <v>OFF</v>
          </cell>
          <cell r="W18">
            <v>0.25</v>
          </cell>
          <cell r="X18">
            <v>0.91</v>
          </cell>
          <cell r="Y18">
            <v>0</v>
          </cell>
          <cell r="Z18">
            <v>1</v>
          </cell>
          <cell r="AA18" t="str">
            <v>M</v>
          </cell>
          <cell r="AB18">
            <v>0</v>
          </cell>
          <cell r="AC18">
            <v>1</v>
          </cell>
          <cell r="AD18">
            <v>0.96</v>
          </cell>
          <cell r="AE18">
            <v>0.75</v>
          </cell>
          <cell r="AF18">
            <v>0.75</v>
          </cell>
          <cell r="AG18">
            <v>0.79</v>
          </cell>
          <cell r="AH18">
            <v>0.7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7.11</v>
          </cell>
          <cell r="AN18">
            <v>0</v>
          </cell>
          <cell r="AS18">
            <v>1</v>
          </cell>
          <cell r="AU18">
            <v>7.11</v>
          </cell>
          <cell r="AV18">
            <v>0</v>
          </cell>
          <cell r="AZ18">
            <v>1060812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F18">
            <v>1060812</v>
          </cell>
          <cell r="BG18">
            <v>73377.279999999999</v>
          </cell>
          <cell r="BH18">
            <v>0</v>
          </cell>
          <cell r="BI18">
            <v>34137.600000000006</v>
          </cell>
          <cell r="BJ18">
            <v>0</v>
          </cell>
          <cell r="BL18">
            <v>0</v>
          </cell>
          <cell r="BM18">
            <v>0</v>
          </cell>
          <cell r="BN18">
            <v>390000</v>
          </cell>
          <cell r="BO18">
            <v>1484949.6</v>
          </cell>
          <cell r="BR18">
            <v>40000</v>
          </cell>
          <cell r="BS18">
            <v>855669</v>
          </cell>
          <cell r="CE18">
            <v>589280.60000000009</v>
          </cell>
        </row>
        <row r="19">
          <cell r="B19" t="str">
            <v>LANLANE25020024</v>
          </cell>
          <cell r="C19">
            <v>12</v>
          </cell>
          <cell r="D19" t="str">
            <v>ALFRID POEN</v>
          </cell>
          <cell r="E19" t="str">
            <v>THL</v>
          </cell>
          <cell r="F19" t="str">
            <v>5301100704000003</v>
          </cell>
          <cell r="G19">
            <v>0</v>
          </cell>
          <cell r="H19">
            <v>0.74</v>
          </cell>
          <cell r="I19">
            <v>0.98</v>
          </cell>
          <cell r="J19">
            <v>1</v>
          </cell>
          <cell r="K19">
            <v>1</v>
          </cell>
          <cell r="L19">
            <v>1</v>
          </cell>
          <cell r="M19" t="str">
            <v>M</v>
          </cell>
          <cell r="N19">
            <v>0</v>
          </cell>
          <cell r="O19">
            <v>1</v>
          </cell>
          <cell r="P19">
            <v>1</v>
          </cell>
          <cell r="Q19">
            <v>0.89</v>
          </cell>
          <cell r="R19">
            <v>0.89</v>
          </cell>
          <cell r="S19">
            <v>1</v>
          </cell>
          <cell r="T19">
            <v>0.87</v>
          </cell>
          <cell r="U19">
            <v>0</v>
          </cell>
          <cell r="V19" t="str">
            <v>M</v>
          </cell>
          <cell r="W19">
            <v>1</v>
          </cell>
          <cell r="X19">
            <v>0.98</v>
          </cell>
          <cell r="Y19">
            <v>0</v>
          </cell>
          <cell r="Z19">
            <v>0.53</v>
          </cell>
          <cell r="AA19">
            <v>1</v>
          </cell>
          <cell r="AB19">
            <v>0</v>
          </cell>
          <cell r="AC19">
            <v>1</v>
          </cell>
          <cell r="AD19">
            <v>1</v>
          </cell>
          <cell r="AE19">
            <v>0.94</v>
          </cell>
          <cell r="AF19">
            <v>1</v>
          </cell>
          <cell r="AG19">
            <v>1</v>
          </cell>
          <cell r="AH19">
            <v>0.56000000000000005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19.38</v>
          </cell>
          <cell r="AN19">
            <v>1</v>
          </cell>
          <cell r="AS19">
            <v>2</v>
          </cell>
          <cell r="AU19">
            <v>20.38</v>
          </cell>
          <cell r="AV19">
            <v>0</v>
          </cell>
          <cell r="AZ19">
            <v>2742296</v>
          </cell>
          <cell r="BA19">
            <v>149200</v>
          </cell>
          <cell r="BB19">
            <v>0</v>
          </cell>
          <cell r="BC19">
            <v>0</v>
          </cell>
          <cell r="BD19">
            <v>0</v>
          </cell>
          <cell r="BF19">
            <v>2891496</v>
          </cell>
          <cell r="BG19">
            <v>1132126.72</v>
          </cell>
          <cell r="BH19">
            <v>0</v>
          </cell>
          <cell r="BI19">
            <v>684916.4800000001</v>
          </cell>
          <cell r="BJ19">
            <v>113280</v>
          </cell>
          <cell r="BL19">
            <v>113280</v>
          </cell>
          <cell r="BM19">
            <v>0</v>
          </cell>
          <cell r="BN19">
            <v>1662500</v>
          </cell>
          <cell r="BO19">
            <v>5352192.4800000004</v>
          </cell>
          <cell r="BR19">
            <v>52000</v>
          </cell>
          <cell r="BS19">
            <v>84000</v>
          </cell>
          <cell r="BV19">
            <v>32583.333333333336</v>
          </cell>
          <cell r="CA19">
            <v>5000</v>
          </cell>
          <cell r="CB19">
            <v>6000</v>
          </cell>
          <cell r="CC19">
            <v>200000</v>
          </cell>
          <cell r="CE19">
            <v>4972609.1466666674</v>
          </cell>
        </row>
        <row r="20">
          <cell r="B20" t="str">
            <v>LANLANE25030101</v>
          </cell>
          <cell r="C20">
            <v>13</v>
          </cell>
          <cell r="D20" t="str">
            <v>JAMALUDIN</v>
          </cell>
          <cell r="E20" t="str">
            <v>THL</v>
          </cell>
          <cell r="F20" t="str">
            <v>5203040302960001</v>
          </cell>
          <cell r="G20">
            <v>0</v>
          </cell>
          <cell r="H20">
            <v>0.75</v>
          </cell>
          <cell r="I20">
            <v>0.96</v>
          </cell>
          <cell r="J20" t="str">
            <v>M</v>
          </cell>
          <cell r="K20" t="str">
            <v>M</v>
          </cell>
          <cell r="L20" t="str">
            <v>M</v>
          </cell>
          <cell r="M20" t="str">
            <v>M</v>
          </cell>
          <cell r="N20">
            <v>0</v>
          </cell>
          <cell r="O20">
            <v>1</v>
          </cell>
          <cell r="P20">
            <v>1</v>
          </cell>
          <cell r="Q20">
            <v>0.47</v>
          </cell>
          <cell r="R20">
            <v>0.56000000000000005</v>
          </cell>
          <cell r="S20">
            <v>0.51</v>
          </cell>
          <cell r="T20">
            <v>0.96</v>
          </cell>
          <cell r="U20">
            <v>0</v>
          </cell>
          <cell r="V20">
            <v>1</v>
          </cell>
          <cell r="W20">
            <v>0.83</v>
          </cell>
          <cell r="X20">
            <v>0.76</v>
          </cell>
          <cell r="Y20">
            <v>0</v>
          </cell>
          <cell r="Z20">
            <v>0.63</v>
          </cell>
          <cell r="AA20">
            <v>1</v>
          </cell>
          <cell r="AB20">
            <v>0</v>
          </cell>
          <cell r="AC20">
            <v>1</v>
          </cell>
          <cell r="AD20">
            <v>0.45</v>
          </cell>
          <cell r="AE20">
            <v>0.96</v>
          </cell>
          <cell r="AF20">
            <v>0.89</v>
          </cell>
          <cell r="AG20">
            <v>0.9</v>
          </cell>
          <cell r="AH20">
            <v>1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15.63</v>
          </cell>
          <cell r="AN20">
            <v>1</v>
          </cell>
          <cell r="AS20">
            <v>4</v>
          </cell>
          <cell r="AU20">
            <v>16.630000000000003</v>
          </cell>
          <cell r="AV20">
            <v>0</v>
          </cell>
          <cell r="AZ20">
            <v>2182796</v>
          </cell>
          <cell r="BA20">
            <v>149200</v>
          </cell>
          <cell r="BB20">
            <v>0</v>
          </cell>
          <cell r="BC20">
            <v>0</v>
          </cell>
          <cell r="BD20">
            <v>0</v>
          </cell>
          <cell r="BF20">
            <v>2331996</v>
          </cell>
          <cell r="BG20">
            <v>239235.84000000005</v>
          </cell>
          <cell r="BH20">
            <v>0</v>
          </cell>
          <cell r="BI20">
            <v>141785.60000000003</v>
          </cell>
          <cell r="BJ20">
            <v>0</v>
          </cell>
          <cell r="BL20">
            <v>0</v>
          </cell>
          <cell r="BM20">
            <v>0</v>
          </cell>
          <cell r="BN20">
            <v>915000</v>
          </cell>
          <cell r="BO20">
            <v>3388781.6</v>
          </cell>
          <cell r="BQ20">
            <v>34982</v>
          </cell>
          <cell r="BR20">
            <v>760500</v>
          </cell>
          <cell r="CA20">
            <v>5000</v>
          </cell>
          <cell r="CC20">
            <v>850000</v>
          </cell>
          <cell r="CE20">
            <v>1738299.6</v>
          </cell>
        </row>
        <row r="21">
          <cell r="B21" t="str">
            <v>LANLANE25050067</v>
          </cell>
          <cell r="C21">
            <v>14</v>
          </cell>
          <cell r="D21" t="str">
            <v>FANDY CHRISTIANBOYS</v>
          </cell>
          <cell r="E21" t="str">
            <v>THL/K-2</v>
          </cell>
          <cell r="F21" t="str">
            <v>5204190107950040</v>
          </cell>
          <cell r="G21">
            <v>0</v>
          </cell>
          <cell r="H21">
            <v>0.74</v>
          </cell>
          <cell r="I21">
            <v>0.98</v>
          </cell>
          <cell r="J21">
            <v>1</v>
          </cell>
          <cell r="K21">
            <v>0.72</v>
          </cell>
          <cell r="L21">
            <v>1</v>
          </cell>
          <cell r="M21">
            <v>1</v>
          </cell>
          <cell r="N21">
            <v>0</v>
          </cell>
          <cell r="O21">
            <v>1</v>
          </cell>
          <cell r="P21" t="str">
            <v>M</v>
          </cell>
          <cell r="Q21">
            <v>0.52</v>
          </cell>
          <cell r="R21">
            <v>0.8</v>
          </cell>
          <cell r="S21">
            <v>0.68</v>
          </cell>
          <cell r="T21" t="str">
            <v>S</v>
          </cell>
          <cell r="U21">
            <v>0</v>
          </cell>
          <cell r="V21">
            <v>1</v>
          </cell>
          <cell r="W21">
            <v>0.7</v>
          </cell>
          <cell r="X21">
            <v>1</v>
          </cell>
          <cell r="Y21">
            <v>0</v>
          </cell>
          <cell r="Z21">
            <v>0.61</v>
          </cell>
          <cell r="AA21">
            <v>1</v>
          </cell>
          <cell r="AB21">
            <v>0</v>
          </cell>
          <cell r="AC21">
            <v>1</v>
          </cell>
          <cell r="AD21">
            <v>0.63</v>
          </cell>
          <cell r="AE21">
            <v>1</v>
          </cell>
          <cell r="AF21">
            <v>0.84</v>
          </cell>
          <cell r="AG21">
            <v>1</v>
          </cell>
          <cell r="AH21">
            <v>1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18.22</v>
          </cell>
          <cell r="AN21">
            <v>1</v>
          </cell>
          <cell r="AQ21">
            <v>1</v>
          </cell>
          <cell r="AS21">
            <v>1</v>
          </cell>
          <cell r="AU21">
            <v>20.22</v>
          </cell>
          <cell r="AV21">
            <v>0</v>
          </cell>
          <cell r="AZ21">
            <v>2569224</v>
          </cell>
          <cell r="BA21">
            <v>149200</v>
          </cell>
          <cell r="BB21">
            <v>0</v>
          </cell>
          <cell r="BC21">
            <v>0</v>
          </cell>
          <cell r="BD21">
            <v>149200</v>
          </cell>
          <cell r="BF21">
            <v>2867624</v>
          </cell>
          <cell r="BG21">
            <v>545937.91999999993</v>
          </cell>
          <cell r="BH21">
            <v>0</v>
          </cell>
          <cell r="BI21">
            <v>410475.5199999999</v>
          </cell>
          <cell r="BJ21">
            <v>0</v>
          </cell>
          <cell r="BL21">
            <v>0</v>
          </cell>
          <cell r="BM21">
            <v>0</v>
          </cell>
          <cell r="BN21">
            <v>1017500</v>
          </cell>
          <cell r="BO21">
            <v>4295599.5199999996</v>
          </cell>
          <cell r="BR21">
            <v>45000</v>
          </cell>
          <cell r="BS21">
            <v>41000</v>
          </cell>
          <cell r="CA21">
            <v>5000</v>
          </cell>
          <cell r="CB21">
            <v>9750</v>
          </cell>
          <cell r="CC21">
            <v>100000</v>
          </cell>
          <cell r="CE21">
            <v>4094849.5199999996</v>
          </cell>
        </row>
        <row r="22">
          <cell r="B22" t="str">
            <v>LANLANE10250250</v>
          </cell>
          <cell r="C22">
            <v>15</v>
          </cell>
          <cell r="D22" t="str">
            <v>SAHWIN</v>
          </cell>
          <cell r="E22" t="str">
            <v>THL/TK</v>
          </cell>
          <cell r="F22" t="str">
            <v>5203040107900224</v>
          </cell>
          <cell r="G22">
            <v>0</v>
          </cell>
          <cell r="H22">
            <v>1</v>
          </cell>
          <cell r="I22">
            <v>1</v>
          </cell>
          <cell r="J22">
            <v>0.79</v>
          </cell>
          <cell r="K22">
            <v>0.94</v>
          </cell>
          <cell r="L22">
            <v>1</v>
          </cell>
          <cell r="M22">
            <v>1</v>
          </cell>
          <cell r="N22">
            <v>0</v>
          </cell>
          <cell r="O22">
            <v>1</v>
          </cell>
          <cell r="P22">
            <v>1</v>
          </cell>
          <cell r="Q22">
            <v>0.42</v>
          </cell>
          <cell r="R22">
            <v>0.55000000000000004</v>
          </cell>
          <cell r="S22">
            <v>0.94</v>
          </cell>
          <cell r="T22">
            <v>0.97</v>
          </cell>
          <cell r="U22">
            <v>0</v>
          </cell>
          <cell r="V22">
            <v>1</v>
          </cell>
          <cell r="W22">
            <v>0.83</v>
          </cell>
          <cell r="X22">
            <v>0.75459130434782606</v>
          </cell>
          <cell r="Y22">
            <v>0</v>
          </cell>
          <cell r="Z22">
            <v>0.64</v>
          </cell>
          <cell r="AA22">
            <v>1</v>
          </cell>
          <cell r="AB22">
            <v>0</v>
          </cell>
          <cell r="AC22">
            <v>1</v>
          </cell>
          <cell r="AD22">
            <v>0.45</v>
          </cell>
          <cell r="AE22">
            <v>1</v>
          </cell>
          <cell r="AF22">
            <v>0.91</v>
          </cell>
          <cell r="AG22">
            <v>0.87</v>
          </cell>
          <cell r="AH22">
            <v>1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20.064591304347829</v>
          </cell>
          <cell r="AN22">
            <v>1</v>
          </cell>
          <cell r="AU22">
            <v>21.064591304347829</v>
          </cell>
          <cell r="AV22">
            <v>0</v>
          </cell>
          <cell r="AZ22">
            <v>2844437.0226086956</v>
          </cell>
          <cell r="BA22">
            <v>149200</v>
          </cell>
          <cell r="BB22">
            <v>0</v>
          </cell>
          <cell r="BC22">
            <v>0</v>
          </cell>
          <cell r="BD22">
            <v>0</v>
          </cell>
          <cell r="BF22">
            <v>2993637.0226086956</v>
          </cell>
          <cell r="BG22">
            <v>612298.23999999999</v>
          </cell>
          <cell r="BH22">
            <v>0</v>
          </cell>
          <cell r="BI22">
            <v>440176.64000000001</v>
          </cell>
          <cell r="BJ22">
            <v>0</v>
          </cell>
          <cell r="BL22">
            <v>0</v>
          </cell>
          <cell r="BM22">
            <v>0</v>
          </cell>
          <cell r="BN22">
            <v>1305000</v>
          </cell>
          <cell r="BO22">
            <v>4738813.6626086961</v>
          </cell>
          <cell r="BR22">
            <v>15000</v>
          </cell>
          <cell r="CA22">
            <v>5000</v>
          </cell>
          <cell r="CC22">
            <v>100000</v>
          </cell>
          <cell r="CD22">
            <v>387500</v>
          </cell>
          <cell r="CE22">
            <v>4231313.6626086961</v>
          </cell>
        </row>
        <row r="23">
          <cell r="B23" t="str">
            <v>LANLANE10250253</v>
          </cell>
          <cell r="C23">
            <v>16</v>
          </cell>
          <cell r="D23" t="str">
            <v>ZAENUDIN</v>
          </cell>
          <cell r="E23" t="str">
            <v>THL</v>
          </cell>
          <cell r="F23" t="str">
            <v>5203043112880343</v>
          </cell>
          <cell r="G23">
            <v>0</v>
          </cell>
          <cell r="H23" t="str">
            <v>OFF</v>
          </cell>
          <cell r="N23">
            <v>0</v>
          </cell>
          <cell r="O23" t="str">
            <v>OFF</v>
          </cell>
          <cell r="U23">
            <v>0</v>
          </cell>
          <cell r="V23" t="str">
            <v>OFF</v>
          </cell>
          <cell r="W23" t="str">
            <v>OFF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U23">
            <v>0</v>
          </cell>
          <cell r="AV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CE23">
            <v>0</v>
          </cell>
        </row>
        <row r="24">
          <cell r="B24" t="str">
            <v>LANLANE19070048</v>
          </cell>
          <cell r="C24">
            <v>1</v>
          </cell>
          <cell r="D24" t="str">
            <v>DARMANTO</v>
          </cell>
          <cell r="E24" t="str">
            <v>K2</v>
          </cell>
          <cell r="F24" t="str">
            <v>6301071404710001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 t="str">
            <v>B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1</v>
          </cell>
          <cell r="AU24">
            <v>1</v>
          </cell>
          <cell r="AV24">
            <v>31000</v>
          </cell>
          <cell r="AW24">
            <v>112422.6</v>
          </cell>
          <cell r="AX24">
            <v>90320</v>
          </cell>
          <cell r="AZ24">
            <v>139572</v>
          </cell>
          <cell r="BA24">
            <v>0</v>
          </cell>
          <cell r="BB24">
            <v>139572</v>
          </cell>
          <cell r="BC24">
            <v>0</v>
          </cell>
          <cell r="BD24">
            <v>0</v>
          </cell>
          <cell r="BF24">
            <v>310144</v>
          </cell>
          <cell r="BG24">
            <v>119637.76000000001</v>
          </cell>
          <cell r="BH24">
            <v>0</v>
          </cell>
          <cell r="BI24">
            <v>53902.080000000016</v>
          </cell>
          <cell r="BJ24">
            <v>50375.679999999993</v>
          </cell>
          <cell r="BL24">
            <v>50375.679999999993</v>
          </cell>
          <cell r="BM24">
            <v>0</v>
          </cell>
          <cell r="BN24">
            <v>60000</v>
          </cell>
          <cell r="BO24">
            <v>474421.76000000001</v>
          </cell>
          <cell r="BP24">
            <v>120562</v>
          </cell>
          <cell r="BQ24">
            <v>40187.199999999997</v>
          </cell>
          <cell r="BU24">
            <v>10000</v>
          </cell>
          <cell r="CA24">
            <v>5000</v>
          </cell>
          <cell r="CE24">
            <v>298672.56</v>
          </cell>
        </row>
        <row r="25">
          <cell r="B25" t="str">
            <v>LANLANE15060169</v>
          </cell>
          <cell r="C25">
            <v>2</v>
          </cell>
          <cell r="D25" t="str">
            <v>PONIMIN</v>
          </cell>
          <cell r="E25" t="str">
            <v>K2</v>
          </cell>
          <cell r="F25" t="str">
            <v>3511011901710001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 t="str">
            <v>B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1</v>
          </cell>
          <cell r="AU25">
            <v>1</v>
          </cell>
          <cell r="AV25">
            <v>0</v>
          </cell>
          <cell r="AW25">
            <v>115914.96</v>
          </cell>
          <cell r="AX25">
            <v>90320</v>
          </cell>
          <cell r="AZ25">
            <v>149200</v>
          </cell>
          <cell r="BA25">
            <v>0</v>
          </cell>
          <cell r="BB25">
            <v>139572</v>
          </cell>
          <cell r="BC25">
            <v>0</v>
          </cell>
          <cell r="BD25">
            <v>0</v>
          </cell>
          <cell r="BF25">
            <v>288772</v>
          </cell>
          <cell r="BG25">
            <v>41022.720000000001</v>
          </cell>
          <cell r="BH25">
            <v>0</v>
          </cell>
          <cell r="BI25">
            <v>-17632.000000000029</v>
          </cell>
          <cell r="BJ25">
            <v>50974.72000000003</v>
          </cell>
          <cell r="BL25">
            <v>50974.72000000003</v>
          </cell>
          <cell r="BM25">
            <v>0</v>
          </cell>
          <cell r="BN25">
            <v>30000</v>
          </cell>
          <cell r="BO25">
            <v>352114.72000000003</v>
          </cell>
          <cell r="BP25">
            <v>120562</v>
          </cell>
          <cell r="BQ25">
            <v>40187.199999999997</v>
          </cell>
          <cell r="BT25">
            <v>1325493</v>
          </cell>
          <cell r="BU25">
            <v>10000</v>
          </cell>
          <cell r="BV25">
            <v>4791.666666666667</v>
          </cell>
          <cell r="CA25">
            <v>5000</v>
          </cell>
          <cell r="CC25">
            <v>200000</v>
          </cell>
          <cell r="CE25">
            <v>-1353919.1466666667</v>
          </cell>
        </row>
        <row r="26">
          <cell r="B26" t="str">
            <v>LANLANE24040102</v>
          </cell>
          <cell r="C26">
            <v>3</v>
          </cell>
          <cell r="D26" t="str">
            <v>JONI KEHI</v>
          </cell>
          <cell r="E26" t="str">
            <v>THL/TK-O</v>
          </cell>
          <cell r="F26" t="str">
            <v>5301100704000003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 t="str">
            <v>S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 t="str">
            <v>M</v>
          </cell>
          <cell r="Y26">
            <v>0</v>
          </cell>
          <cell r="Z26">
            <v>0</v>
          </cell>
          <cell r="AA26" t="str">
            <v>B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 t="str">
            <v>S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Q26">
            <v>2</v>
          </cell>
          <cell r="AS26">
            <v>1</v>
          </cell>
          <cell r="AU26">
            <v>2</v>
          </cell>
          <cell r="AV26">
            <v>10333.333333333334</v>
          </cell>
          <cell r="AW26">
            <v>111071</v>
          </cell>
          <cell r="AX26">
            <v>90320</v>
          </cell>
          <cell r="AZ26">
            <v>139572</v>
          </cell>
          <cell r="BA26">
            <v>0</v>
          </cell>
          <cell r="BB26">
            <v>0</v>
          </cell>
          <cell r="BC26">
            <v>0</v>
          </cell>
          <cell r="BD26">
            <v>298400</v>
          </cell>
          <cell r="BF26">
            <v>448305.33333333337</v>
          </cell>
          <cell r="BG26">
            <v>71101.440000000002</v>
          </cell>
          <cell r="BH26">
            <v>0</v>
          </cell>
          <cell r="BI26">
            <v>49341.440000000002</v>
          </cell>
          <cell r="BJ26">
            <v>0</v>
          </cell>
          <cell r="BL26">
            <v>0</v>
          </cell>
          <cell r="BM26">
            <v>0</v>
          </cell>
          <cell r="BN26">
            <v>85000</v>
          </cell>
          <cell r="BO26">
            <v>582646.77333333343</v>
          </cell>
          <cell r="BQ26">
            <v>34982</v>
          </cell>
          <cell r="BR26">
            <v>123000</v>
          </cell>
          <cell r="BS26">
            <v>357000</v>
          </cell>
          <cell r="BT26">
            <v>525000</v>
          </cell>
          <cell r="BU26">
            <v>10000</v>
          </cell>
          <cell r="CA26">
            <v>5000</v>
          </cell>
          <cell r="CC26">
            <v>100000</v>
          </cell>
          <cell r="CE26">
            <v>-572335.22666666657</v>
          </cell>
        </row>
        <row r="27">
          <cell r="B27" t="str">
            <v>LANLANE03220001</v>
          </cell>
          <cell r="C27">
            <v>4</v>
          </cell>
          <cell r="D27" t="str">
            <v>AGUSTINUS SURI KEHI</v>
          </cell>
          <cell r="E27" t="str">
            <v>TK-0</v>
          </cell>
          <cell r="F27" t="str">
            <v>5301101512670002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 t="str">
            <v>B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</v>
          </cell>
          <cell r="AU27">
            <v>1</v>
          </cell>
          <cell r="AV27">
            <v>24541.666666666668</v>
          </cell>
          <cell r="AW27">
            <v>112000.22500000001</v>
          </cell>
          <cell r="AX27">
            <v>90320</v>
          </cell>
          <cell r="AZ27">
            <v>139572</v>
          </cell>
          <cell r="BA27">
            <v>0</v>
          </cell>
          <cell r="BB27">
            <v>139572</v>
          </cell>
          <cell r="BC27">
            <v>0</v>
          </cell>
          <cell r="BD27">
            <v>0</v>
          </cell>
          <cell r="BF27">
            <v>303685.66666666663</v>
          </cell>
          <cell r="BG27">
            <v>72284.160000000003</v>
          </cell>
          <cell r="BH27">
            <v>0</v>
          </cell>
          <cell r="BI27">
            <v>-32051.199999999983</v>
          </cell>
          <cell r="BJ27">
            <v>83855.359999999986</v>
          </cell>
          <cell r="BL27">
            <v>83855.359999999986</v>
          </cell>
          <cell r="BM27">
            <v>0</v>
          </cell>
          <cell r="BN27">
            <v>80000</v>
          </cell>
          <cell r="BO27">
            <v>435489.82666666666</v>
          </cell>
          <cell r="BP27">
            <v>105682</v>
          </cell>
          <cell r="BQ27">
            <v>35227.199999999997</v>
          </cell>
          <cell r="BS27">
            <v>674842</v>
          </cell>
          <cell r="BU27">
            <v>50000</v>
          </cell>
          <cell r="CA27">
            <v>5000</v>
          </cell>
          <cell r="CC27">
            <v>200000</v>
          </cell>
          <cell r="CE27">
            <v>-635261.37333333329</v>
          </cell>
        </row>
        <row r="28">
          <cell r="B28" t="str">
            <v>LANLANE19030028</v>
          </cell>
          <cell r="C28">
            <v>5</v>
          </cell>
          <cell r="D28" t="str">
            <v>ARDIANSYAH</v>
          </cell>
          <cell r="E28" t="str">
            <v>K1</v>
          </cell>
          <cell r="F28" t="str">
            <v>6301090709790004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 t="str">
            <v>B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1</v>
          </cell>
          <cell r="AU28">
            <v>1</v>
          </cell>
          <cell r="AV28">
            <v>31000</v>
          </cell>
          <cell r="AW28">
            <v>117942.36</v>
          </cell>
          <cell r="AX28">
            <v>90320</v>
          </cell>
          <cell r="AZ28">
            <v>139572</v>
          </cell>
          <cell r="BA28">
            <v>0</v>
          </cell>
          <cell r="BB28">
            <v>139572</v>
          </cell>
          <cell r="BC28">
            <v>0</v>
          </cell>
          <cell r="BD28">
            <v>0</v>
          </cell>
          <cell r="BF28">
            <v>310144</v>
          </cell>
          <cell r="BG28">
            <v>32053.760000000009</v>
          </cell>
          <cell r="BH28">
            <v>0</v>
          </cell>
          <cell r="BI28">
            <v>-63624.959999999992</v>
          </cell>
          <cell r="BJ28">
            <v>76478.720000000001</v>
          </cell>
          <cell r="BL28">
            <v>76478.720000000001</v>
          </cell>
          <cell r="BM28">
            <v>0</v>
          </cell>
          <cell r="BN28">
            <v>75000</v>
          </cell>
          <cell r="BO28">
            <v>397997.76</v>
          </cell>
          <cell r="BP28">
            <v>115912</v>
          </cell>
          <cell r="BQ28">
            <v>38637.199999999997</v>
          </cell>
          <cell r="BS28">
            <v>99000</v>
          </cell>
          <cell r="BT28">
            <v>962500</v>
          </cell>
          <cell r="BU28">
            <v>10000</v>
          </cell>
          <cell r="BV28">
            <v>1875</v>
          </cell>
          <cell r="CA28">
            <v>5000</v>
          </cell>
          <cell r="CC28">
            <v>200000</v>
          </cell>
          <cell r="CE28">
            <v>-1034926.44</v>
          </cell>
        </row>
        <row r="29">
          <cell r="B29" t="str">
            <v>LANLANE21070185</v>
          </cell>
          <cell r="C29">
            <v>6</v>
          </cell>
          <cell r="D29" t="str">
            <v>ROHAN</v>
          </cell>
          <cell r="E29" t="str">
            <v>K2</v>
          </cell>
          <cell r="F29" t="str">
            <v>6301071812870002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 t="str">
            <v>M</v>
          </cell>
          <cell r="M29" t="str">
            <v>M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>IZIN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 t="str">
            <v>S</v>
          </cell>
          <cell r="AA29" t="str">
            <v>B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1</v>
          </cell>
          <cell r="AQ29">
            <v>1</v>
          </cell>
          <cell r="AS29">
            <v>2</v>
          </cell>
          <cell r="AU29">
            <v>2</v>
          </cell>
          <cell r="AV29">
            <v>0</v>
          </cell>
          <cell r="AZ29">
            <v>149200</v>
          </cell>
          <cell r="BA29">
            <v>0</v>
          </cell>
          <cell r="BB29">
            <v>139572</v>
          </cell>
          <cell r="BC29">
            <v>0</v>
          </cell>
          <cell r="BD29">
            <v>139572</v>
          </cell>
          <cell r="BF29">
            <v>428344</v>
          </cell>
          <cell r="BG29">
            <v>36080.640000000014</v>
          </cell>
          <cell r="BH29">
            <v>0</v>
          </cell>
          <cell r="BI29">
            <v>-1666.5599999999977</v>
          </cell>
          <cell r="BJ29">
            <v>13427.200000000012</v>
          </cell>
          <cell r="BL29">
            <v>13427.200000000012</v>
          </cell>
          <cell r="BM29">
            <v>0</v>
          </cell>
          <cell r="BN29">
            <v>95000</v>
          </cell>
          <cell r="BO29">
            <v>535104.64</v>
          </cell>
          <cell r="BP29">
            <v>120562</v>
          </cell>
          <cell r="BQ29">
            <v>40187.199999999997</v>
          </cell>
          <cell r="BS29">
            <v>1949639</v>
          </cell>
          <cell r="BT29">
            <v>962500</v>
          </cell>
          <cell r="BU29">
            <v>10000</v>
          </cell>
          <cell r="BV29">
            <v>25375</v>
          </cell>
          <cell r="CA29">
            <v>5000</v>
          </cell>
          <cell r="CC29">
            <v>200000</v>
          </cell>
          <cell r="CE29">
            <v>-2778158.56</v>
          </cell>
        </row>
        <row r="30">
          <cell r="B30" t="str">
            <v>LANLANE25060238</v>
          </cell>
          <cell r="C30">
            <v>7</v>
          </cell>
          <cell r="D30" t="str">
            <v>RUSLAN</v>
          </cell>
          <cell r="E30" t="str">
            <v>THL/K-2</v>
          </cell>
          <cell r="F30" t="str">
            <v>5202081005870005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>S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 t="str">
            <v>B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Q30">
            <v>1</v>
          </cell>
          <cell r="AU30">
            <v>1</v>
          </cell>
          <cell r="AV30">
            <v>31000</v>
          </cell>
          <cell r="AZ30">
            <v>139572</v>
          </cell>
          <cell r="BA30">
            <v>0</v>
          </cell>
          <cell r="BB30">
            <v>0</v>
          </cell>
          <cell r="BC30">
            <v>0</v>
          </cell>
          <cell r="BD30">
            <v>149200</v>
          </cell>
          <cell r="BF30">
            <v>319772</v>
          </cell>
          <cell r="BG30">
            <v>101877.76000000004</v>
          </cell>
          <cell r="BH30">
            <v>0</v>
          </cell>
          <cell r="BI30">
            <v>76277.760000000038</v>
          </cell>
          <cell r="BJ30">
            <v>0</v>
          </cell>
          <cell r="BL30">
            <v>0</v>
          </cell>
          <cell r="BM30">
            <v>0</v>
          </cell>
          <cell r="BN30">
            <v>100000</v>
          </cell>
          <cell r="BO30">
            <v>496049.76</v>
          </cell>
          <cell r="BS30">
            <v>1030715</v>
          </cell>
          <cell r="BV30">
            <v>94375.000000000015</v>
          </cell>
          <cell r="CA30">
            <v>5000</v>
          </cell>
          <cell r="CE30">
            <v>-634040.24</v>
          </cell>
        </row>
        <row r="31">
          <cell r="B31" t="str">
            <v>LANLANE21120209</v>
          </cell>
          <cell r="C31">
            <v>8</v>
          </cell>
          <cell r="D31" t="str">
            <v>SUNARDI</v>
          </cell>
          <cell r="E31" t="str">
            <v>K2</v>
          </cell>
          <cell r="F31" t="str">
            <v>3509080107800864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 t="str">
            <v>B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1</v>
          </cell>
          <cell r="AU31">
            <v>1</v>
          </cell>
          <cell r="AV31">
            <v>0</v>
          </cell>
          <cell r="AZ31">
            <v>149200</v>
          </cell>
          <cell r="BA31">
            <v>0</v>
          </cell>
          <cell r="BB31">
            <v>139572</v>
          </cell>
          <cell r="BC31">
            <v>0</v>
          </cell>
          <cell r="BD31">
            <v>0</v>
          </cell>
          <cell r="BF31">
            <v>288772</v>
          </cell>
          <cell r="BG31">
            <v>30511.359999999986</v>
          </cell>
          <cell r="BH31">
            <v>0</v>
          </cell>
          <cell r="BI31">
            <v>-42901.760000000009</v>
          </cell>
          <cell r="BJ31">
            <v>63173.119999999995</v>
          </cell>
          <cell r="BL31">
            <v>63173.119999999995</v>
          </cell>
          <cell r="BM31">
            <v>0</v>
          </cell>
          <cell r="BN31">
            <v>40000</v>
          </cell>
          <cell r="BO31">
            <v>349043.36</v>
          </cell>
          <cell r="BP31">
            <v>120562</v>
          </cell>
          <cell r="BQ31">
            <v>40187.199999999997</v>
          </cell>
          <cell r="BS31">
            <v>2410610</v>
          </cell>
          <cell r="BT31">
            <v>1050000</v>
          </cell>
          <cell r="BU31">
            <v>10000</v>
          </cell>
          <cell r="CA31">
            <v>5000</v>
          </cell>
          <cell r="CC31">
            <v>200000</v>
          </cell>
          <cell r="CE31">
            <v>-3487315.8400000003</v>
          </cell>
        </row>
        <row r="32">
          <cell r="B32" t="str">
            <v>LANLANE23010128</v>
          </cell>
          <cell r="C32">
            <v>9</v>
          </cell>
          <cell r="D32" t="str">
            <v>MELIRIUS MUTI KOEN</v>
          </cell>
          <cell r="E32" t="str">
            <v>THL/K2</v>
          </cell>
          <cell r="F32" t="str">
            <v>5304080305860001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 t="str">
            <v>B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U32">
            <v>0</v>
          </cell>
          <cell r="AV32">
            <v>0</v>
          </cell>
          <cell r="AW32">
            <v>126954.48</v>
          </cell>
          <cell r="AX32">
            <v>90320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F32">
            <v>0</v>
          </cell>
          <cell r="BG32">
            <v>114956.79999999999</v>
          </cell>
          <cell r="BH32">
            <v>0</v>
          </cell>
          <cell r="BI32">
            <v>100876.79999999999</v>
          </cell>
          <cell r="BJ32">
            <v>0</v>
          </cell>
          <cell r="BL32">
            <v>0</v>
          </cell>
          <cell r="BM32">
            <v>0</v>
          </cell>
          <cell r="BN32">
            <v>55000</v>
          </cell>
          <cell r="BO32">
            <v>155876.79999999999</v>
          </cell>
          <cell r="BQ32">
            <v>38637.199999999997</v>
          </cell>
          <cell r="BS32">
            <v>1307125</v>
          </cell>
          <cell r="BU32">
            <v>10000</v>
          </cell>
          <cell r="BV32">
            <v>52291.666666666664</v>
          </cell>
          <cell r="CA32">
            <v>5000</v>
          </cell>
          <cell r="CC32">
            <v>200000</v>
          </cell>
          <cell r="CE32">
            <v>-1457177.0666666667</v>
          </cell>
        </row>
        <row r="33">
          <cell r="B33" t="str">
            <v>LANLANE25040233</v>
          </cell>
          <cell r="C33">
            <v>10</v>
          </cell>
          <cell r="D33" t="str">
            <v>YOHANES TAE SERAN</v>
          </cell>
          <cell r="E33" t="str">
            <v>THL</v>
          </cell>
          <cell r="F33" t="str">
            <v>5304160107890032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 t="str">
            <v>M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 t="str">
            <v>S</v>
          </cell>
          <cell r="Y33">
            <v>0</v>
          </cell>
          <cell r="Z33" t="str">
            <v>B</v>
          </cell>
          <cell r="AA33" t="str">
            <v>B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Q33">
            <v>1</v>
          </cell>
          <cell r="AS33">
            <v>1</v>
          </cell>
          <cell r="AU33">
            <v>1</v>
          </cell>
          <cell r="AV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149200</v>
          </cell>
          <cell r="BF33">
            <v>149200</v>
          </cell>
          <cell r="BG33">
            <v>145111.03999999998</v>
          </cell>
          <cell r="BH33">
            <v>0</v>
          </cell>
          <cell r="BI33">
            <v>28865.27999999997</v>
          </cell>
          <cell r="BJ33">
            <v>97045.760000000009</v>
          </cell>
          <cell r="BL33">
            <v>97045.760000000009</v>
          </cell>
          <cell r="BM33">
            <v>0</v>
          </cell>
          <cell r="BN33">
            <v>75000</v>
          </cell>
          <cell r="BO33">
            <v>350111.04</v>
          </cell>
          <cell r="BS33">
            <v>620500</v>
          </cell>
          <cell r="BT33">
            <v>525000</v>
          </cell>
          <cell r="BV33">
            <v>72875</v>
          </cell>
          <cell r="CA33">
            <v>5000</v>
          </cell>
          <cell r="CE33">
            <v>-873263.96</v>
          </cell>
        </row>
        <row r="34">
          <cell r="B34" t="str">
            <v>LANLANE25010166</v>
          </cell>
          <cell r="C34">
            <v>11</v>
          </cell>
          <cell r="D34" t="str">
            <v>PAJAR SUSANTO</v>
          </cell>
          <cell r="E34" t="str">
            <v>THL</v>
          </cell>
          <cell r="F34" t="str">
            <v>6303122401920003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 t="str">
            <v>B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U34">
            <v>0</v>
          </cell>
          <cell r="AV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-35884.799999999988</v>
          </cell>
          <cell r="BJ34">
            <v>35884.799999999988</v>
          </cell>
          <cell r="BL34">
            <v>35884.799999999988</v>
          </cell>
          <cell r="BM34">
            <v>0</v>
          </cell>
          <cell r="BN34">
            <v>40000</v>
          </cell>
          <cell r="BO34">
            <v>40000</v>
          </cell>
          <cell r="BQ34">
            <v>34982</v>
          </cell>
          <cell r="BR34">
            <v>784500</v>
          </cell>
          <cell r="BS34">
            <v>1864207</v>
          </cell>
          <cell r="BU34">
            <v>10000</v>
          </cell>
          <cell r="CA34">
            <v>5000</v>
          </cell>
          <cell r="CC34">
            <v>200000</v>
          </cell>
          <cell r="CE34">
            <v>-2858689</v>
          </cell>
        </row>
        <row r="35">
          <cell r="B35" t="str">
            <v>LANLANE24080096</v>
          </cell>
          <cell r="C35">
            <v>12</v>
          </cell>
          <cell r="D35" t="str">
            <v>ISWAN HADI</v>
          </cell>
          <cell r="E35" t="str">
            <v>THL/</v>
          </cell>
          <cell r="F35" t="str">
            <v>6372042909830001</v>
          </cell>
          <cell r="G35">
            <v>0</v>
          </cell>
          <cell r="H35" t="str">
            <v>M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 t="str">
            <v>M</v>
          </cell>
          <cell r="P35">
            <v>0</v>
          </cell>
          <cell r="Q35">
            <v>0</v>
          </cell>
          <cell r="R35" t="str">
            <v>M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 t="str">
            <v>B</v>
          </cell>
          <cell r="AA35" t="str">
            <v>M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S35">
            <v>4</v>
          </cell>
          <cell r="AU35">
            <v>0</v>
          </cell>
          <cell r="AV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F35">
            <v>0</v>
          </cell>
          <cell r="BG35">
            <v>93829.120000000024</v>
          </cell>
          <cell r="BH35">
            <v>0</v>
          </cell>
          <cell r="BI35">
            <v>77189.120000000024</v>
          </cell>
          <cell r="BJ35">
            <v>0</v>
          </cell>
          <cell r="BL35">
            <v>0</v>
          </cell>
          <cell r="BM35">
            <v>0</v>
          </cell>
          <cell r="BN35">
            <v>65000</v>
          </cell>
          <cell r="BO35">
            <v>142189.12000000002</v>
          </cell>
          <cell r="BQ35">
            <v>34982</v>
          </cell>
          <cell r="BS35">
            <v>713336</v>
          </cell>
          <cell r="BT35">
            <v>525000</v>
          </cell>
          <cell r="BV35">
            <v>1875</v>
          </cell>
          <cell r="CA35">
            <v>5000</v>
          </cell>
          <cell r="CC35">
            <v>550000</v>
          </cell>
          <cell r="CE35">
            <v>-1688003.88</v>
          </cell>
        </row>
        <row r="36">
          <cell r="B36" t="str">
            <v>LANLANE24110130</v>
          </cell>
          <cell r="C36">
            <v>13</v>
          </cell>
          <cell r="D36" t="str">
            <v>MUAZZIM</v>
          </cell>
          <cell r="E36" t="str">
            <v>THL/K1</v>
          </cell>
          <cell r="F36" t="str">
            <v>5202122708990002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 t="str">
            <v>B</v>
          </cell>
          <cell r="AA36" t="str">
            <v>B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M36">
            <v>0</v>
          </cell>
          <cell r="AN36">
            <v>0</v>
          </cell>
          <cell r="AU36">
            <v>0</v>
          </cell>
          <cell r="AV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F36">
            <v>0</v>
          </cell>
          <cell r="BG36">
            <v>46664.959999999992</v>
          </cell>
          <cell r="BH36">
            <v>0</v>
          </cell>
          <cell r="BI36">
            <v>25946.880000000005</v>
          </cell>
          <cell r="BJ36">
            <v>9198.0799999999872</v>
          </cell>
          <cell r="BL36">
            <v>9198.0799999999872</v>
          </cell>
          <cell r="BM36">
            <v>0</v>
          </cell>
          <cell r="BN36">
            <v>45000</v>
          </cell>
          <cell r="BO36">
            <v>80144.959999999992</v>
          </cell>
          <cell r="BQ36">
            <v>34982</v>
          </cell>
          <cell r="BS36">
            <v>1458287</v>
          </cell>
          <cell r="BT36">
            <v>477273</v>
          </cell>
          <cell r="BU36">
            <v>10000</v>
          </cell>
          <cell r="BV36">
            <v>1875</v>
          </cell>
          <cell r="CA36">
            <v>5000</v>
          </cell>
          <cell r="CC36">
            <v>200000</v>
          </cell>
          <cell r="CE36">
            <v>-2107272.04</v>
          </cell>
        </row>
        <row r="37">
          <cell r="B37" t="str">
            <v>LANLANE25070239</v>
          </cell>
          <cell r="C37">
            <v>14</v>
          </cell>
          <cell r="D37" t="str">
            <v>SUHERMAN</v>
          </cell>
          <cell r="E37" t="str">
            <v>THL</v>
          </cell>
          <cell r="F37" t="str">
            <v>5202030107890638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 t="str">
            <v>M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>M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 t="str">
            <v>B</v>
          </cell>
          <cell r="AB37">
            <v>0</v>
          </cell>
          <cell r="AC37">
            <v>0</v>
          </cell>
          <cell r="AD37" t="str">
            <v>M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M37">
            <v>0</v>
          </cell>
          <cell r="AN37">
            <v>0</v>
          </cell>
          <cell r="AS37">
            <v>3</v>
          </cell>
          <cell r="AU37">
            <v>0</v>
          </cell>
          <cell r="AV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43549.440000000002</v>
          </cell>
          <cell r="BH37">
            <v>0</v>
          </cell>
          <cell r="BI37">
            <v>-18305.28</v>
          </cell>
          <cell r="BJ37">
            <v>49054.720000000001</v>
          </cell>
          <cell r="BL37">
            <v>49054.720000000001</v>
          </cell>
          <cell r="BM37">
            <v>0</v>
          </cell>
          <cell r="BN37">
            <v>50000</v>
          </cell>
          <cell r="BO37">
            <v>80749.440000000002</v>
          </cell>
          <cell r="CA37">
            <v>5000</v>
          </cell>
          <cell r="CC37">
            <v>50000</v>
          </cell>
          <cell r="CE37">
            <v>25749.440000000002</v>
          </cell>
        </row>
        <row r="38">
          <cell r="B38" t="str">
            <v>LANLANE12250259</v>
          </cell>
          <cell r="C38">
            <v>15</v>
          </cell>
          <cell r="D38" t="str">
            <v>MUHRI</v>
          </cell>
          <cell r="E38" t="str">
            <v>THL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 t="str">
            <v>B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M38">
            <v>0</v>
          </cell>
          <cell r="AN38">
            <v>17</v>
          </cell>
          <cell r="AU38">
            <v>17</v>
          </cell>
          <cell r="AV38">
            <v>0</v>
          </cell>
          <cell r="AZ38">
            <v>38505552.02722609</v>
          </cell>
          <cell r="BA38">
            <v>2478632</v>
          </cell>
          <cell r="BB38">
            <v>0</v>
          </cell>
          <cell r="BC38">
            <v>0</v>
          </cell>
          <cell r="BD38">
            <v>0</v>
          </cell>
          <cell r="BF38">
            <v>40984184.02722609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40984184.02722609</v>
          </cell>
          <cell r="BR38">
            <v>660000</v>
          </cell>
          <cell r="BS38">
            <v>992178</v>
          </cell>
          <cell r="CA38">
            <v>5000</v>
          </cell>
          <cell r="CC38">
            <v>200000</v>
          </cell>
          <cell r="CE38">
            <v>39127006.02722609</v>
          </cell>
        </row>
        <row r="39">
          <cell r="C39" t="str">
            <v>JUMLAH PANEN</v>
          </cell>
          <cell r="AM39">
            <v>225.3953579710145</v>
          </cell>
          <cell r="AN39">
            <v>11</v>
          </cell>
          <cell r="AO39">
            <v>11</v>
          </cell>
          <cell r="AP39">
            <v>0</v>
          </cell>
          <cell r="AQ39">
            <v>32</v>
          </cell>
          <cell r="AR39">
            <v>0</v>
          </cell>
          <cell r="AS39">
            <v>15</v>
          </cell>
          <cell r="AT39">
            <v>0</v>
          </cell>
          <cell r="AU39">
            <v>279.3953579710145</v>
          </cell>
          <cell r="AV39">
            <v>2976000</v>
          </cell>
          <cell r="AW39">
            <v>846079.8</v>
          </cell>
          <cell r="AX39">
            <v>541920</v>
          </cell>
          <cell r="AY39">
            <v>0</v>
          </cell>
          <cell r="AZ39">
            <v>31267613.009275362</v>
          </cell>
          <cell r="BA39">
            <v>1602688</v>
          </cell>
          <cell r="BB39">
            <v>697860</v>
          </cell>
          <cell r="BC39">
            <v>0</v>
          </cell>
          <cell r="BD39">
            <v>3936900</v>
          </cell>
          <cell r="BE39">
            <v>0</v>
          </cell>
          <cell r="BF39">
            <v>40481061.009275362</v>
          </cell>
          <cell r="BG39">
            <v>11620933.119999999</v>
          </cell>
          <cell r="BH39">
            <v>0</v>
          </cell>
          <cell r="BI39">
            <v>8639741.4399999995</v>
          </cell>
          <cell r="BJ39">
            <v>248076.80000000002</v>
          </cell>
          <cell r="BK39">
            <v>0</v>
          </cell>
          <cell r="BL39">
            <v>248076.80000000002</v>
          </cell>
          <cell r="BM39">
            <v>0</v>
          </cell>
          <cell r="BN39">
            <v>15090000</v>
          </cell>
          <cell r="BO39">
            <v>64458879.249275371</v>
          </cell>
          <cell r="BP39">
            <v>1407684</v>
          </cell>
          <cell r="BQ39">
            <v>677568.4</v>
          </cell>
          <cell r="BR39">
            <v>3833000</v>
          </cell>
          <cell r="BS39">
            <v>23300610</v>
          </cell>
          <cell r="BT39">
            <v>8452766</v>
          </cell>
          <cell r="BU39">
            <v>200000</v>
          </cell>
          <cell r="BV39">
            <v>479666.66666666669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140000</v>
          </cell>
          <cell r="CB39">
            <v>30750</v>
          </cell>
          <cell r="CC39">
            <v>5700000</v>
          </cell>
          <cell r="CD39">
            <v>775000</v>
          </cell>
          <cell r="CE39">
            <v>44946892.915942028</v>
          </cell>
        </row>
        <row r="40">
          <cell r="C40" t="str">
            <v>B</v>
          </cell>
          <cell r="D40" t="str">
            <v>OPT GENSET &amp; KAUM</v>
          </cell>
        </row>
        <row r="41">
          <cell r="B41" t="str">
            <v>LANLANE08120002</v>
          </cell>
          <cell r="C41" t="str">
            <v>1'</v>
          </cell>
          <cell r="D41" t="str">
            <v>ABDUL HADI</v>
          </cell>
          <cell r="E41" t="str">
            <v>K2</v>
          </cell>
          <cell r="F41" t="str">
            <v>6301091205720001</v>
          </cell>
          <cell r="G41">
            <v>0</v>
          </cell>
          <cell r="H41">
            <v>1</v>
          </cell>
          <cell r="I41">
            <v>1</v>
          </cell>
          <cell r="J41">
            <v>1</v>
          </cell>
          <cell r="K41">
            <v>1</v>
          </cell>
          <cell r="L41">
            <v>1</v>
          </cell>
          <cell r="M41">
            <v>1</v>
          </cell>
          <cell r="N41">
            <v>0</v>
          </cell>
          <cell r="O41">
            <v>1</v>
          </cell>
          <cell r="P41">
            <v>1</v>
          </cell>
          <cell r="Q41">
            <v>1</v>
          </cell>
          <cell r="R41">
            <v>1</v>
          </cell>
          <cell r="S41">
            <v>1</v>
          </cell>
          <cell r="T41">
            <v>1</v>
          </cell>
          <cell r="U41">
            <v>0</v>
          </cell>
          <cell r="V41">
            <v>1</v>
          </cell>
          <cell r="W41">
            <v>0</v>
          </cell>
          <cell r="X41">
            <v>1</v>
          </cell>
          <cell r="Y41">
            <v>1</v>
          </cell>
          <cell r="Z41">
            <v>1</v>
          </cell>
          <cell r="AA41">
            <v>1</v>
          </cell>
          <cell r="AB41">
            <v>0</v>
          </cell>
          <cell r="AC41">
            <v>1</v>
          </cell>
          <cell r="AD41">
            <v>1</v>
          </cell>
          <cell r="AE41">
            <v>1</v>
          </cell>
          <cell r="AF41">
            <v>1</v>
          </cell>
          <cell r="AG41">
            <v>1</v>
          </cell>
          <cell r="AH41">
            <v>1</v>
          </cell>
          <cell r="AI41">
            <v>0</v>
          </cell>
          <cell r="AJ41">
            <v>0</v>
          </cell>
          <cell r="AK41">
            <v>0</v>
          </cell>
          <cell r="AL41">
            <v>23</v>
          </cell>
          <cell r="AM41">
            <v>23</v>
          </cell>
          <cell r="AO41">
            <v>1</v>
          </cell>
          <cell r="AU41">
            <v>24</v>
          </cell>
          <cell r="AV41">
            <v>744000</v>
          </cell>
          <cell r="AW41">
            <v>186651.6</v>
          </cell>
          <cell r="AX41">
            <v>90320</v>
          </cell>
          <cell r="AZ41">
            <v>3210156</v>
          </cell>
          <cell r="BB41">
            <v>139572</v>
          </cell>
          <cell r="BC41">
            <v>0</v>
          </cell>
          <cell r="BD41">
            <v>0</v>
          </cell>
          <cell r="BF41">
            <v>4093728</v>
          </cell>
          <cell r="BI41">
            <v>150000</v>
          </cell>
          <cell r="BO41">
            <v>4243728</v>
          </cell>
          <cell r="BP41">
            <v>120562</v>
          </cell>
          <cell r="BQ41">
            <v>37199.599999999999</v>
          </cell>
          <cell r="BS41">
            <v>1245761</v>
          </cell>
          <cell r="BU41">
            <v>10000</v>
          </cell>
          <cell r="CA41">
            <v>5000</v>
          </cell>
          <cell r="CE41">
            <v>2825205.4</v>
          </cell>
        </row>
        <row r="42">
          <cell r="B42" t="str">
            <v>LANLANE19110106</v>
          </cell>
          <cell r="C42" t="str">
            <v>2'</v>
          </cell>
          <cell r="D42" t="str">
            <v>JUNAIDI</v>
          </cell>
          <cell r="E42" t="str">
            <v>K2</v>
          </cell>
          <cell r="F42" t="str">
            <v>6304010106800002</v>
          </cell>
          <cell r="G42">
            <v>0</v>
          </cell>
          <cell r="H42">
            <v>1</v>
          </cell>
          <cell r="I42">
            <v>1</v>
          </cell>
          <cell r="J42">
            <v>1</v>
          </cell>
          <cell r="K42">
            <v>1</v>
          </cell>
          <cell r="L42">
            <v>1</v>
          </cell>
          <cell r="M42">
            <v>1</v>
          </cell>
          <cell r="N42">
            <v>0</v>
          </cell>
          <cell r="O42">
            <v>1</v>
          </cell>
          <cell r="P42">
            <v>1</v>
          </cell>
          <cell r="Q42">
            <v>1</v>
          </cell>
          <cell r="R42">
            <v>1</v>
          </cell>
          <cell r="S42">
            <v>1</v>
          </cell>
          <cell r="T42">
            <v>1</v>
          </cell>
          <cell r="U42">
            <v>0</v>
          </cell>
          <cell r="V42">
            <v>1</v>
          </cell>
          <cell r="W42">
            <v>0</v>
          </cell>
          <cell r="X42">
            <v>1</v>
          </cell>
          <cell r="Y42">
            <v>1</v>
          </cell>
          <cell r="Z42">
            <v>1</v>
          </cell>
          <cell r="AA42">
            <v>1</v>
          </cell>
          <cell r="AB42">
            <v>0</v>
          </cell>
          <cell r="AC42">
            <v>1</v>
          </cell>
          <cell r="AD42">
            <v>1</v>
          </cell>
          <cell r="AE42">
            <v>1</v>
          </cell>
          <cell r="AF42">
            <v>1</v>
          </cell>
          <cell r="AG42">
            <v>1</v>
          </cell>
          <cell r="AH42">
            <v>1</v>
          </cell>
          <cell r="AI42">
            <v>0</v>
          </cell>
          <cell r="AJ42">
            <v>0</v>
          </cell>
          <cell r="AK42">
            <v>0</v>
          </cell>
          <cell r="AL42">
            <v>23</v>
          </cell>
          <cell r="AM42">
            <v>23</v>
          </cell>
          <cell r="AO42">
            <v>1</v>
          </cell>
          <cell r="AU42">
            <v>24</v>
          </cell>
          <cell r="AV42">
            <v>744000</v>
          </cell>
          <cell r="AW42">
            <v>186651.6</v>
          </cell>
          <cell r="AX42">
            <v>90320</v>
          </cell>
          <cell r="AZ42">
            <v>3210156</v>
          </cell>
          <cell r="BB42">
            <v>139572</v>
          </cell>
          <cell r="BC42">
            <v>0</v>
          </cell>
          <cell r="BD42">
            <v>0</v>
          </cell>
          <cell r="BF42">
            <v>4093728</v>
          </cell>
          <cell r="BI42">
            <v>150000</v>
          </cell>
          <cell r="BO42">
            <v>4243728</v>
          </cell>
          <cell r="BP42">
            <v>120562</v>
          </cell>
          <cell r="BQ42">
            <v>37199.599999999999</v>
          </cell>
          <cell r="BS42">
            <v>364500</v>
          </cell>
          <cell r="BU42">
            <v>10000</v>
          </cell>
          <cell r="CA42">
            <v>5000</v>
          </cell>
          <cell r="CE42">
            <v>3706466.4</v>
          </cell>
        </row>
        <row r="45">
          <cell r="CB45">
            <v>30750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264B5-E1B3-4AEE-9D01-98A0E318F307}">
  <dimension ref="A1:G336"/>
  <sheetViews>
    <sheetView showGridLines="0" tabSelected="1" topLeftCell="B320" workbookViewId="0">
      <selection activeCell="F328" sqref="F328"/>
    </sheetView>
  </sheetViews>
  <sheetFormatPr defaultRowHeight="14.5" x14ac:dyDescent="0.35"/>
  <cols>
    <col min="1" max="1" width="17.1796875" bestFit="1" customWidth="1"/>
    <col min="2" max="2" width="29.54296875" bestFit="1" customWidth="1"/>
    <col min="3" max="3" width="20.54296875" bestFit="1" customWidth="1"/>
    <col min="4" max="4" width="11.1796875" bestFit="1" customWidth="1"/>
    <col min="5" max="5" width="7.7265625" bestFit="1" customWidth="1"/>
    <col min="6" max="6" width="10.7265625" customWidth="1"/>
    <col min="7" max="7" width="10.269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/>
      <c r="G2" s="2"/>
    </row>
    <row r="3" spans="1:7" x14ac:dyDescent="0.35">
      <c r="A3" s="2" t="s">
        <v>12</v>
      </c>
      <c r="B3" s="2" t="s">
        <v>13</v>
      </c>
      <c r="C3" s="2" t="s">
        <v>14</v>
      </c>
      <c r="D3" s="2" t="s">
        <v>10</v>
      </c>
      <c r="E3" s="2" t="s">
        <v>11</v>
      </c>
      <c r="F3" s="3"/>
      <c r="G3" s="2"/>
    </row>
    <row r="4" spans="1:7" x14ac:dyDescent="0.35">
      <c r="A4" s="2" t="s">
        <v>15</v>
      </c>
      <c r="B4" s="2" t="s">
        <v>16</v>
      </c>
      <c r="C4" s="2" t="s">
        <v>14</v>
      </c>
      <c r="D4" s="2" t="s">
        <v>10</v>
      </c>
      <c r="E4" s="2" t="s">
        <v>11</v>
      </c>
      <c r="F4" s="3"/>
      <c r="G4" s="2"/>
    </row>
    <row r="5" spans="1:7" x14ac:dyDescent="0.35">
      <c r="A5" s="2" t="s">
        <v>17</v>
      </c>
      <c r="B5" s="2" t="s">
        <v>18</v>
      </c>
      <c r="C5" s="2" t="s">
        <v>19</v>
      </c>
      <c r="D5" s="2" t="s">
        <v>10</v>
      </c>
      <c r="E5" s="2" t="s">
        <v>11</v>
      </c>
      <c r="F5" s="3"/>
      <c r="G5" s="2"/>
    </row>
    <row r="6" spans="1:7" x14ac:dyDescent="0.35">
      <c r="A6" s="2" t="s">
        <v>20</v>
      </c>
      <c r="B6" s="2" t="s">
        <v>21</v>
      </c>
      <c r="C6" s="2" t="s">
        <v>14</v>
      </c>
      <c r="D6" s="2" t="s">
        <v>10</v>
      </c>
      <c r="E6" s="2" t="s">
        <v>11</v>
      </c>
      <c r="F6" s="3"/>
      <c r="G6" s="2"/>
    </row>
    <row r="7" spans="1:7" x14ac:dyDescent="0.35">
      <c r="A7" s="2" t="s">
        <v>22</v>
      </c>
      <c r="B7" s="2" t="s">
        <v>23</v>
      </c>
      <c r="C7" s="2" t="s">
        <v>24</v>
      </c>
      <c r="D7" s="2" t="s">
        <v>10</v>
      </c>
      <c r="E7" s="2" t="s">
        <v>11</v>
      </c>
      <c r="F7" s="3"/>
      <c r="G7" s="2"/>
    </row>
    <row r="8" spans="1:7" x14ac:dyDescent="0.35">
      <c r="A8" s="2" t="s">
        <v>25</v>
      </c>
      <c r="B8" s="2" t="s">
        <v>26</v>
      </c>
      <c r="C8" s="2" t="s">
        <v>27</v>
      </c>
      <c r="D8" s="2" t="s">
        <v>10</v>
      </c>
      <c r="E8" s="2" t="s">
        <v>11</v>
      </c>
      <c r="F8" s="3"/>
      <c r="G8" s="2"/>
    </row>
    <row r="9" spans="1:7" x14ac:dyDescent="0.35">
      <c r="A9" s="2" t="s">
        <v>28</v>
      </c>
      <c r="B9" s="2" t="s">
        <v>29</v>
      </c>
      <c r="C9" s="2" t="s">
        <v>14</v>
      </c>
      <c r="D9" s="2" t="s">
        <v>10</v>
      </c>
      <c r="E9" s="2" t="s">
        <v>11</v>
      </c>
      <c r="F9" s="3"/>
      <c r="G9" s="2"/>
    </row>
    <row r="10" spans="1:7" x14ac:dyDescent="0.35">
      <c r="A10" s="2" t="s">
        <v>30</v>
      </c>
      <c r="B10" s="2" t="s">
        <v>31</v>
      </c>
      <c r="C10" s="2" t="s">
        <v>24</v>
      </c>
      <c r="D10" s="2" t="s">
        <v>10</v>
      </c>
      <c r="E10" s="2" t="s">
        <v>11</v>
      </c>
      <c r="F10" s="3"/>
      <c r="G10" s="2"/>
    </row>
    <row r="11" spans="1:7" x14ac:dyDescent="0.35">
      <c r="A11" s="2" t="s">
        <v>32</v>
      </c>
      <c r="B11" s="2" t="s">
        <v>33</v>
      </c>
      <c r="C11" s="2" t="s">
        <v>34</v>
      </c>
      <c r="D11" s="2" t="s">
        <v>10</v>
      </c>
      <c r="E11" s="2" t="s">
        <v>11</v>
      </c>
      <c r="F11" s="3"/>
      <c r="G11" s="2"/>
    </row>
    <row r="12" spans="1:7" x14ac:dyDescent="0.35">
      <c r="A12" s="2" t="s">
        <v>35</v>
      </c>
      <c r="B12" s="2" t="s">
        <v>36</v>
      </c>
      <c r="C12" s="2" t="s">
        <v>14</v>
      </c>
      <c r="D12" s="2" t="s">
        <v>10</v>
      </c>
      <c r="E12" s="2" t="s">
        <v>11</v>
      </c>
      <c r="F12" s="3"/>
      <c r="G12" s="2"/>
    </row>
    <row r="13" spans="1:7" x14ac:dyDescent="0.35">
      <c r="A13" s="2" t="s">
        <v>37</v>
      </c>
      <c r="B13" s="2" t="s">
        <v>38</v>
      </c>
      <c r="C13" s="2" t="s">
        <v>39</v>
      </c>
      <c r="D13" s="2" t="s">
        <v>10</v>
      </c>
      <c r="E13" s="2" t="s">
        <v>11</v>
      </c>
      <c r="F13" s="3"/>
      <c r="G13" s="2"/>
    </row>
    <row r="14" spans="1:7" x14ac:dyDescent="0.35">
      <c r="A14" s="2" t="s">
        <v>40</v>
      </c>
      <c r="B14" s="2" t="s">
        <v>41</v>
      </c>
      <c r="C14" s="2" t="s">
        <v>42</v>
      </c>
      <c r="D14" s="2" t="s">
        <v>10</v>
      </c>
      <c r="E14" s="2" t="s">
        <v>11</v>
      </c>
      <c r="F14" s="3"/>
      <c r="G14" s="2"/>
    </row>
    <row r="15" spans="1:7" x14ac:dyDescent="0.35">
      <c r="A15" s="2" t="s">
        <v>43</v>
      </c>
      <c r="B15" s="2" t="s">
        <v>44</v>
      </c>
      <c r="C15" s="2" t="s">
        <v>45</v>
      </c>
      <c r="D15" s="2" t="s">
        <v>10</v>
      </c>
      <c r="E15" s="2" t="s">
        <v>11</v>
      </c>
      <c r="F15" s="3"/>
      <c r="G15" s="2"/>
    </row>
    <row r="16" spans="1:7" x14ac:dyDescent="0.35">
      <c r="A16" s="2" t="s">
        <v>46</v>
      </c>
      <c r="B16" s="2" t="s">
        <v>47</v>
      </c>
      <c r="C16" s="2" t="s">
        <v>48</v>
      </c>
      <c r="D16" s="2" t="s">
        <v>10</v>
      </c>
      <c r="E16" s="2" t="s">
        <v>11</v>
      </c>
      <c r="F16" s="3"/>
      <c r="G16" s="2"/>
    </row>
    <row r="17" spans="1:7" x14ac:dyDescent="0.35">
      <c r="A17" s="2" t="s">
        <v>49</v>
      </c>
      <c r="B17" s="2" t="s">
        <v>50</v>
      </c>
      <c r="C17" s="2" t="s">
        <v>24</v>
      </c>
      <c r="D17" s="2" t="s">
        <v>10</v>
      </c>
      <c r="E17" s="2" t="s">
        <v>11</v>
      </c>
      <c r="F17" s="3"/>
      <c r="G17" s="2"/>
    </row>
    <row r="18" spans="1:7" x14ac:dyDescent="0.35">
      <c r="A18" s="2" t="s">
        <v>51</v>
      </c>
      <c r="B18" s="2" t="s">
        <v>52</v>
      </c>
      <c r="C18" s="2" t="s">
        <v>14</v>
      </c>
      <c r="D18" s="2" t="s">
        <v>10</v>
      </c>
      <c r="E18" s="2" t="s">
        <v>11</v>
      </c>
      <c r="F18" s="3"/>
      <c r="G18" s="2"/>
    </row>
    <row r="19" spans="1:7" x14ac:dyDescent="0.35">
      <c r="A19" s="2" t="s">
        <v>53</v>
      </c>
      <c r="B19" s="2" t="s">
        <v>54</v>
      </c>
      <c r="C19" s="2" t="s">
        <v>24</v>
      </c>
      <c r="D19" s="2" t="s">
        <v>10</v>
      </c>
      <c r="E19" s="2" t="s">
        <v>11</v>
      </c>
      <c r="F19" s="3"/>
      <c r="G19" s="2"/>
    </row>
    <row r="20" spans="1:7" x14ac:dyDescent="0.35">
      <c r="A20" s="2" t="s">
        <v>55</v>
      </c>
      <c r="B20" s="2" t="s">
        <v>56</v>
      </c>
      <c r="C20" s="2" t="s">
        <v>24</v>
      </c>
      <c r="D20" s="2" t="s">
        <v>10</v>
      </c>
      <c r="E20" s="2" t="s">
        <v>11</v>
      </c>
      <c r="F20" s="3"/>
      <c r="G20" s="2"/>
    </row>
    <row r="21" spans="1:7" x14ac:dyDescent="0.35">
      <c r="A21" s="2" t="s">
        <v>57</v>
      </c>
      <c r="B21" s="2" t="s">
        <v>58</v>
      </c>
      <c r="C21" s="2" t="s">
        <v>14</v>
      </c>
      <c r="D21" s="2" t="s">
        <v>10</v>
      </c>
      <c r="E21" s="2" t="s">
        <v>11</v>
      </c>
      <c r="F21" s="3"/>
      <c r="G21" s="2"/>
    </row>
    <row r="22" spans="1:7" x14ac:dyDescent="0.35">
      <c r="A22" s="2" t="s">
        <v>59</v>
      </c>
      <c r="B22" s="2" t="s">
        <v>60</v>
      </c>
      <c r="C22" s="2" t="s">
        <v>14</v>
      </c>
      <c r="D22" s="2" t="s">
        <v>10</v>
      </c>
      <c r="E22" s="2" t="s">
        <v>11</v>
      </c>
      <c r="F22" s="3"/>
      <c r="G22" s="2"/>
    </row>
    <row r="23" spans="1:7" x14ac:dyDescent="0.35">
      <c r="A23" s="2" t="s">
        <v>61</v>
      </c>
      <c r="B23" s="2" t="s">
        <v>62</v>
      </c>
      <c r="C23" s="2" t="s">
        <v>14</v>
      </c>
      <c r="D23" s="2" t="s">
        <v>10</v>
      </c>
      <c r="E23" s="2" t="s">
        <v>11</v>
      </c>
      <c r="F23" s="3"/>
      <c r="G23" s="2"/>
    </row>
    <row r="24" spans="1:7" x14ac:dyDescent="0.35">
      <c r="A24" s="2" t="s">
        <v>63</v>
      </c>
      <c r="B24" s="2" t="s">
        <v>64</v>
      </c>
      <c r="C24" s="2" t="s">
        <v>24</v>
      </c>
      <c r="D24" s="2" t="s">
        <v>10</v>
      </c>
      <c r="E24" s="2" t="s">
        <v>11</v>
      </c>
      <c r="F24" s="3"/>
      <c r="G24" s="2"/>
    </row>
    <row r="25" spans="1:7" x14ac:dyDescent="0.35">
      <c r="A25" s="2" t="s">
        <v>65</v>
      </c>
      <c r="B25" s="2" t="s">
        <v>66</v>
      </c>
      <c r="C25" s="2" t="s">
        <v>24</v>
      </c>
      <c r="D25" s="2" t="s">
        <v>10</v>
      </c>
      <c r="E25" s="2" t="s">
        <v>11</v>
      </c>
      <c r="F25" s="3"/>
      <c r="G25" s="2"/>
    </row>
    <row r="26" spans="1:7" x14ac:dyDescent="0.35">
      <c r="A26" s="2" t="s">
        <v>67</v>
      </c>
      <c r="B26" s="2" t="s">
        <v>68</v>
      </c>
      <c r="C26" s="2" t="s">
        <v>14</v>
      </c>
      <c r="D26" s="2" t="s">
        <v>10</v>
      </c>
      <c r="E26" s="2" t="s">
        <v>11</v>
      </c>
      <c r="F26" s="3"/>
      <c r="G26" s="2"/>
    </row>
    <row r="27" spans="1:7" x14ac:dyDescent="0.35">
      <c r="A27" s="2" t="s">
        <v>69</v>
      </c>
      <c r="B27" s="2" t="s">
        <v>70</v>
      </c>
      <c r="C27" s="2" t="s">
        <v>14</v>
      </c>
      <c r="D27" s="2" t="s">
        <v>10</v>
      </c>
      <c r="E27" s="2" t="s">
        <v>11</v>
      </c>
      <c r="F27" s="3"/>
      <c r="G27" s="2"/>
    </row>
    <row r="28" spans="1:7" x14ac:dyDescent="0.35">
      <c r="A28" s="2" t="s">
        <v>71</v>
      </c>
      <c r="B28" s="2" t="s">
        <v>72</v>
      </c>
      <c r="C28" s="2" t="s">
        <v>24</v>
      </c>
      <c r="D28" s="2" t="s">
        <v>10</v>
      </c>
      <c r="E28" s="2" t="s">
        <v>11</v>
      </c>
      <c r="F28" s="3"/>
      <c r="G28" s="2"/>
    </row>
    <row r="29" spans="1:7" x14ac:dyDescent="0.35">
      <c r="A29" s="2" t="s">
        <v>73</v>
      </c>
      <c r="B29" s="2" t="s">
        <v>74</v>
      </c>
      <c r="C29" s="2" t="s">
        <v>14</v>
      </c>
      <c r="D29" s="2" t="s">
        <v>10</v>
      </c>
      <c r="E29" s="2" t="s">
        <v>11</v>
      </c>
      <c r="F29" s="3"/>
      <c r="G29" s="2"/>
    </row>
    <row r="30" spans="1:7" x14ac:dyDescent="0.35">
      <c r="A30" s="2" t="s">
        <v>75</v>
      </c>
      <c r="B30" s="2" t="s">
        <v>76</v>
      </c>
      <c r="C30" s="2" t="s">
        <v>24</v>
      </c>
      <c r="D30" s="2" t="s">
        <v>10</v>
      </c>
      <c r="E30" s="2" t="s">
        <v>11</v>
      </c>
      <c r="F30" s="3"/>
      <c r="G30" s="2"/>
    </row>
    <row r="31" spans="1:7" x14ac:dyDescent="0.35">
      <c r="A31" s="2" t="s">
        <v>77</v>
      </c>
      <c r="B31" s="2" t="s">
        <v>78</v>
      </c>
      <c r="C31" s="2" t="s">
        <v>79</v>
      </c>
      <c r="D31" s="2" t="s">
        <v>10</v>
      </c>
      <c r="E31" s="2" t="s">
        <v>11</v>
      </c>
      <c r="F31" s="3"/>
      <c r="G31" s="2"/>
    </row>
    <row r="32" spans="1:7" x14ac:dyDescent="0.35">
      <c r="A32" s="2" t="s">
        <v>80</v>
      </c>
      <c r="B32" s="2" t="s">
        <v>81</v>
      </c>
      <c r="C32" s="2" t="s">
        <v>39</v>
      </c>
      <c r="D32" s="2" t="s">
        <v>10</v>
      </c>
      <c r="E32" s="2" t="s">
        <v>11</v>
      </c>
      <c r="F32" s="3"/>
      <c r="G32" s="2"/>
    </row>
    <row r="33" spans="1:7" x14ac:dyDescent="0.35">
      <c r="A33" s="2" t="s">
        <v>82</v>
      </c>
      <c r="B33" s="2" t="s">
        <v>83</v>
      </c>
      <c r="C33" s="2" t="s">
        <v>39</v>
      </c>
      <c r="D33" s="2" t="s">
        <v>10</v>
      </c>
      <c r="E33" s="2" t="s">
        <v>11</v>
      </c>
      <c r="F33" s="3"/>
      <c r="G33" s="2"/>
    </row>
    <row r="34" spans="1:7" x14ac:dyDescent="0.35">
      <c r="A34" s="2" t="s">
        <v>84</v>
      </c>
      <c r="B34" s="2" t="s">
        <v>85</v>
      </c>
      <c r="C34" s="2" t="s">
        <v>24</v>
      </c>
      <c r="D34" s="2" t="s">
        <v>10</v>
      </c>
      <c r="E34" s="2" t="s">
        <v>11</v>
      </c>
      <c r="F34" s="3">
        <f>VLOOKUP(A34,'[1]DAFTAR GAJI'!$B$8:$CE$42,79,FALSE)</f>
        <v>6000</v>
      </c>
      <c r="G34" s="2"/>
    </row>
    <row r="35" spans="1:7" x14ac:dyDescent="0.35">
      <c r="A35" s="2" t="s">
        <v>701</v>
      </c>
      <c r="B35" s="2" t="s">
        <v>702</v>
      </c>
      <c r="C35" s="2" t="s">
        <v>24</v>
      </c>
      <c r="D35" s="2" t="s">
        <v>10</v>
      </c>
      <c r="E35" s="2" t="s">
        <v>11</v>
      </c>
      <c r="F35" s="3"/>
      <c r="G35" s="2"/>
    </row>
    <row r="36" spans="1:7" x14ac:dyDescent="0.35">
      <c r="A36" s="2" t="s">
        <v>86</v>
      </c>
      <c r="B36" s="2" t="s">
        <v>87</v>
      </c>
      <c r="C36" s="2" t="s">
        <v>39</v>
      </c>
      <c r="D36" s="2" t="s">
        <v>10</v>
      </c>
      <c r="E36" s="2" t="s">
        <v>11</v>
      </c>
      <c r="F36" s="3"/>
      <c r="G36" s="2"/>
    </row>
    <row r="37" spans="1:7" x14ac:dyDescent="0.35">
      <c r="A37" s="2" t="s">
        <v>88</v>
      </c>
      <c r="B37" s="2" t="s">
        <v>89</v>
      </c>
      <c r="C37" s="2" t="s">
        <v>24</v>
      </c>
      <c r="D37" s="2" t="s">
        <v>10</v>
      </c>
      <c r="E37" s="2" t="s">
        <v>11</v>
      </c>
      <c r="F37" s="3"/>
      <c r="G37" s="2"/>
    </row>
    <row r="38" spans="1:7" x14ac:dyDescent="0.35">
      <c r="A38" s="2" t="s">
        <v>90</v>
      </c>
      <c r="B38" s="2" t="s">
        <v>91</v>
      </c>
      <c r="C38" s="2" t="s">
        <v>14</v>
      </c>
      <c r="D38" s="2" t="s">
        <v>10</v>
      </c>
      <c r="E38" s="2" t="s">
        <v>11</v>
      </c>
      <c r="F38" s="3"/>
      <c r="G38" s="2"/>
    </row>
    <row r="39" spans="1:7" x14ac:dyDescent="0.35">
      <c r="A39" s="2" t="s">
        <v>92</v>
      </c>
      <c r="B39" s="2" t="s">
        <v>93</v>
      </c>
      <c r="C39" s="2" t="s">
        <v>14</v>
      </c>
      <c r="D39" s="2" t="s">
        <v>10</v>
      </c>
      <c r="E39" s="2" t="s">
        <v>11</v>
      </c>
      <c r="F39" s="3"/>
      <c r="G39" s="2"/>
    </row>
    <row r="40" spans="1:7" x14ac:dyDescent="0.35">
      <c r="A40" s="2" t="s">
        <v>94</v>
      </c>
      <c r="B40" s="2" t="s">
        <v>95</v>
      </c>
      <c r="C40" s="2" t="s">
        <v>24</v>
      </c>
      <c r="D40" s="2" t="s">
        <v>10</v>
      </c>
      <c r="E40" s="2" t="s">
        <v>11</v>
      </c>
      <c r="F40" s="3"/>
      <c r="G40" s="2"/>
    </row>
    <row r="41" spans="1:7" x14ac:dyDescent="0.35">
      <c r="A41" s="2" t="s">
        <v>96</v>
      </c>
      <c r="B41" s="2" t="s">
        <v>97</v>
      </c>
      <c r="C41" s="2" t="s">
        <v>24</v>
      </c>
      <c r="D41" s="2" t="s">
        <v>10</v>
      </c>
      <c r="E41" s="2" t="s">
        <v>11</v>
      </c>
      <c r="F41" s="3"/>
      <c r="G41" s="2"/>
    </row>
    <row r="42" spans="1:7" x14ac:dyDescent="0.35">
      <c r="A42" s="2" t="s">
        <v>98</v>
      </c>
      <c r="B42" s="2" t="s">
        <v>99</v>
      </c>
      <c r="C42" s="2" t="s">
        <v>14</v>
      </c>
      <c r="D42" s="2" t="s">
        <v>10</v>
      </c>
      <c r="E42" s="2" t="s">
        <v>11</v>
      </c>
      <c r="F42" s="3"/>
      <c r="G42" s="2"/>
    </row>
    <row r="43" spans="1:7" x14ac:dyDescent="0.35">
      <c r="A43" s="2" t="s">
        <v>100</v>
      </c>
      <c r="B43" s="2" t="s">
        <v>101</v>
      </c>
      <c r="C43" s="2" t="s">
        <v>39</v>
      </c>
      <c r="D43" s="2" t="s">
        <v>10</v>
      </c>
      <c r="E43" s="2" t="s">
        <v>11</v>
      </c>
      <c r="F43" s="3"/>
      <c r="G43" s="2"/>
    </row>
    <row r="44" spans="1:7" x14ac:dyDescent="0.35">
      <c r="A44" s="2" t="s">
        <v>102</v>
      </c>
      <c r="B44" s="2" t="s">
        <v>103</v>
      </c>
      <c r="C44" s="2" t="s">
        <v>14</v>
      </c>
      <c r="D44" s="2" t="s">
        <v>10</v>
      </c>
      <c r="E44" s="2" t="s">
        <v>11</v>
      </c>
      <c r="F44" s="3"/>
      <c r="G44" s="2"/>
    </row>
    <row r="45" spans="1:7" x14ac:dyDescent="0.35">
      <c r="A45" s="2" t="s">
        <v>104</v>
      </c>
      <c r="B45" s="2" t="s">
        <v>105</v>
      </c>
      <c r="C45" s="2" t="s">
        <v>24</v>
      </c>
      <c r="D45" s="2" t="s">
        <v>10</v>
      </c>
      <c r="E45" s="2" t="s">
        <v>11</v>
      </c>
      <c r="F45" s="3"/>
      <c r="G45" s="2"/>
    </row>
    <row r="46" spans="1:7" x14ac:dyDescent="0.35">
      <c r="A46" s="2" t="s">
        <v>106</v>
      </c>
      <c r="B46" s="2" t="s">
        <v>107</v>
      </c>
      <c r="C46" s="2" t="s">
        <v>108</v>
      </c>
      <c r="D46" s="2" t="s">
        <v>10</v>
      </c>
      <c r="E46" s="2" t="s">
        <v>11</v>
      </c>
      <c r="F46" s="3"/>
      <c r="G46" s="2"/>
    </row>
    <row r="47" spans="1:7" x14ac:dyDescent="0.35">
      <c r="A47" s="2" t="s">
        <v>109</v>
      </c>
      <c r="B47" s="2" t="s">
        <v>110</v>
      </c>
      <c r="C47" s="2" t="s">
        <v>14</v>
      </c>
      <c r="D47" s="2" t="s">
        <v>10</v>
      </c>
      <c r="E47" s="2" t="s">
        <v>11</v>
      </c>
      <c r="F47" s="3"/>
      <c r="G47" s="2"/>
    </row>
    <row r="48" spans="1:7" x14ac:dyDescent="0.35">
      <c r="A48" s="2" t="s">
        <v>111</v>
      </c>
      <c r="B48" s="2" t="s">
        <v>112</v>
      </c>
      <c r="C48" s="2" t="s">
        <v>14</v>
      </c>
      <c r="D48" s="2" t="s">
        <v>10</v>
      </c>
      <c r="E48" s="2" t="s">
        <v>11</v>
      </c>
      <c r="F48" s="3"/>
      <c r="G48" s="2"/>
    </row>
    <row r="49" spans="1:7" x14ac:dyDescent="0.35">
      <c r="A49" s="2" t="s">
        <v>113</v>
      </c>
      <c r="B49" s="2" t="s">
        <v>114</v>
      </c>
      <c r="C49" s="2" t="s">
        <v>14</v>
      </c>
      <c r="D49" s="2" t="s">
        <v>10</v>
      </c>
      <c r="E49" s="2" t="s">
        <v>11</v>
      </c>
      <c r="F49" s="3"/>
      <c r="G49" s="2"/>
    </row>
    <row r="50" spans="1:7" x14ac:dyDescent="0.35">
      <c r="A50" s="2" t="s">
        <v>115</v>
      </c>
      <c r="B50" s="2" t="s">
        <v>116</v>
      </c>
      <c r="C50" s="2" t="s">
        <v>24</v>
      </c>
      <c r="D50" s="2" t="s">
        <v>10</v>
      </c>
      <c r="E50" s="2" t="s">
        <v>11</v>
      </c>
      <c r="F50" s="3"/>
      <c r="G50" s="2"/>
    </row>
    <row r="51" spans="1:7" x14ac:dyDescent="0.35">
      <c r="A51" s="2" t="s">
        <v>117</v>
      </c>
      <c r="B51" s="2" t="s">
        <v>118</v>
      </c>
      <c r="C51" s="2" t="s">
        <v>24</v>
      </c>
      <c r="D51" s="2" t="s">
        <v>10</v>
      </c>
      <c r="E51" s="2" t="s">
        <v>11</v>
      </c>
      <c r="F51" s="3"/>
      <c r="G51" s="2"/>
    </row>
    <row r="52" spans="1:7" x14ac:dyDescent="0.35">
      <c r="A52" s="2" t="s">
        <v>119</v>
      </c>
      <c r="B52" s="2" t="s">
        <v>120</v>
      </c>
      <c r="C52" s="2" t="s">
        <v>121</v>
      </c>
      <c r="D52" s="2" t="s">
        <v>10</v>
      </c>
      <c r="E52" s="2" t="s">
        <v>11</v>
      </c>
      <c r="F52" s="3"/>
      <c r="G52" s="2"/>
    </row>
    <row r="53" spans="1:7" x14ac:dyDescent="0.35">
      <c r="A53" s="2" t="s">
        <v>122</v>
      </c>
      <c r="B53" s="2" t="s">
        <v>123</v>
      </c>
      <c r="C53" s="2" t="s">
        <v>124</v>
      </c>
      <c r="D53" s="2" t="s">
        <v>10</v>
      </c>
      <c r="E53" s="2" t="s">
        <v>11</v>
      </c>
      <c r="F53" s="3"/>
      <c r="G53" s="2"/>
    </row>
    <row r="54" spans="1:7" x14ac:dyDescent="0.35">
      <c r="A54" s="2" t="s">
        <v>125</v>
      </c>
      <c r="B54" s="2" t="s">
        <v>126</v>
      </c>
      <c r="C54" s="2" t="s">
        <v>14</v>
      </c>
      <c r="D54" s="2" t="s">
        <v>10</v>
      </c>
      <c r="E54" s="2" t="s">
        <v>11</v>
      </c>
      <c r="F54" s="3"/>
      <c r="G54" s="2"/>
    </row>
    <row r="55" spans="1:7" x14ac:dyDescent="0.35">
      <c r="A55" s="2" t="s">
        <v>127</v>
      </c>
      <c r="B55" s="2" t="s">
        <v>128</v>
      </c>
      <c r="C55" s="2" t="s">
        <v>129</v>
      </c>
      <c r="D55" s="2" t="s">
        <v>10</v>
      </c>
      <c r="E55" s="2" t="s">
        <v>11</v>
      </c>
      <c r="F55" s="3"/>
      <c r="G55" s="2"/>
    </row>
    <row r="56" spans="1:7" x14ac:dyDescent="0.35">
      <c r="A56" s="2" t="s">
        <v>130</v>
      </c>
      <c r="B56" s="2" t="s">
        <v>131</v>
      </c>
      <c r="C56" s="2" t="s">
        <v>14</v>
      </c>
      <c r="D56" s="2" t="s">
        <v>10</v>
      </c>
      <c r="E56" s="2" t="s">
        <v>11</v>
      </c>
      <c r="F56" s="3"/>
      <c r="G56" s="2"/>
    </row>
    <row r="57" spans="1:7" x14ac:dyDescent="0.35">
      <c r="A57" s="2" t="s">
        <v>132</v>
      </c>
      <c r="B57" s="2" t="s">
        <v>133</v>
      </c>
      <c r="C57" s="2" t="s">
        <v>24</v>
      </c>
      <c r="D57" s="2" t="s">
        <v>10</v>
      </c>
      <c r="E57" s="2" t="s">
        <v>11</v>
      </c>
      <c r="F57" s="3"/>
      <c r="G57" s="2"/>
    </row>
    <row r="58" spans="1:7" x14ac:dyDescent="0.35">
      <c r="A58" s="2" t="s">
        <v>134</v>
      </c>
      <c r="B58" s="2" t="s">
        <v>135</v>
      </c>
      <c r="C58" s="2" t="s">
        <v>136</v>
      </c>
      <c r="D58" s="2" t="s">
        <v>10</v>
      </c>
      <c r="E58" s="2" t="s">
        <v>11</v>
      </c>
      <c r="F58" s="3"/>
      <c r="G58" s="2"/>
    </row>
    <row r="59" spans="1:7" x14ac:dyDescent="0.35">
      <c r="A59" s="2" t="s">
        <v>137</v>
      </c>
      <c r="B59" s="2" t="s">
        <v>138</v>
      </c>
      <c r="C59" s="2" t="s">
        <v>14</v>
      </c>
      <c r="D59" s="2" t="s">
        <v>10</v>
      </c>
      <c r="E59" s="2" t="s">
        <v>11</v>
      </c>
      <c r="F59" s="3"/>
      <c r="G59" s="2"/>
    </row>
    <row r="60" spans="1:7" x14ac:dyDescent="0.35">
      <c r="A60" s="2" t="s">
        <v>139</v>
      </c>
      <c r="B60" s="2" t="s">
        <v>140</v>
      </c>
      <c r="C60" s="2" t="s">
        <v>14</v>
      </c>
      <c r="D60" s="2" t="s">
        <v>10</v>
      </c>
      <c r="E60" s="2" t="s">
        <v>11</v>
      </c>
      <c r="F60" s="3"/>
      <c r="G60" s="2"/>
    </row>
    <row r="61" spans="1:7" x14ac:dyDescent="0.35">
      <c r="A61" s="2" t="s">
        <v>141</v>
      </c>
      <c r="B61" s="2" t="s">
        <v>142</v>
      </c>
      <c r="C61" s="2" t="s">
        <v>45</v>
      </c>
      <c r="D61" s="2" t="s">
        <v>10</v>
      </c>
      <c r="E61" s="2" t="s">
        <v>11</v>
      </c>
      <c r="F61" s="3"/>
      <c r="G61" s="2"/>
    </row>
    <row r="62" spans="1:7" x14ac:dyDescent="0.35">
      <c r="A62" s="2" t="s">
        <v>143</v>
      </c>
      <c r="B62" s="2" t="s">
        <v>142</v>
      </c>
      <c r="C62" s="2" t="s">
        <v>14</v>
      </c>
      <c r="D62" s="2" t="s">
        <v>10</v>
      </c>
      <c r="E62" s="2" t="s">
        <v>11</v>
      </c>
      <c r="F62" s="3"/>
      <c r="G62" s="2"/>
    </row>
    <row r="63" spans="1:7" x14ac:dyDescent="0.35">
      <c r="A63" s="2" t="s">
        <v>144</v>
      </c>
      <c r="B63" s="2" t="s">
        <v>145</v>
      </c>
      <c r="C63" s="2" t="s">
        <v>146</v>
      </c>
      <c r="D63" s="2" t="s">
        <v>10</v>
      </c>
      <c r="E63" s="2" t="s">
        <v>11</v>
      </c>
      <c r="F63" s="3"/>
      <c r="G63" s="2"/>
    </row>
    <row r="64" spans="1:7" x14ac:dyDescent="0.35">
      <c r="A64" s="2" t="s">
        <v>147</v>
      </c>
      <c r="B64" s="2" t="s">
        <v>148</v>
      </c>
      <c r="C64" s="2" t="s">
        <v>149</v>
      </c>
      <c r="D64" s="2" t="s">
        <v>10</v>
      </c>
      <c r="E64" s="2" t="s">
        <v>11</v>
      </c>
      <c r="F64" s="3"/>
      <c r="G64" s="2"/>
    </row>
    <row r="65" spans="1:7" x14ac:dyDescent="0.35">
      <c r="A65" s="2" t="s">
        <v>150</v>
      </c>
      <c r="B65" s="2" t="s">
        <v>151</v>
      </c>
      <c r="C65" s="2" t="s">
        <v>14</v>
      </c>
      <c r="D65" s="2" t="s">
        <v>10</v>
      </c>
      <c r="E65" s="2" t="s">
        <v>11</v>
      </c>
      <c r="F65" s="3"/>
      <c r="G65" s="2"/>
    </row>
    <row r="66" spans="1:7" x14ac:dyDescent="0.35">
      <c r="A66" s="2" t="s">
        <v>152</v>
      </c>
      <c r="B66" s="2" t="s">
        <v>153</v>
      </c>
      <c r="C66" s="2" t="s">
        <v>24</v>
      </c>
      <c r="D66" s="2" t="s">
        <v>10</v>
      </c>
      <c r="E66" s="2" t="s">
        <v>11</v>
      </c>
      <c r="F66" s="3"/>
      <c r="G66" s="2"/>
    </row>
    <row r="67" spans="1:7" x14ac:dyDescent="0.35">
      <c r="A67" s="2" t="s">
        <v>154</v>
      </c>
      <c r="B67" s="2" t="s">
        <v>155</v>
      </c>
      <c r="C67" s="2" t="s">
        <v>156</v>
      </c>
      <c r="D67" s="2" t="s">
        <v>10</v>
      </c>
      <c r="E67" s="2" t="s">
        <v>11</v>
      </c>
      <c r="F67" s="3"/>
      <c r="G67" s="2"/>
    </row>
    <row r="68" spans="1:7" x14ac:dyDescent="0.35">
      <c r="A68" s="2" t="s">
        <v>157</v>
      </c>
      <c r="B68" s="2" t="s">
        <v>158</v>
      </c>
      <c r="C68" s="2" t="s">
        <v>14</v>
      </c>
      <c r="D68" s="2" t="s">
        <v>10</v>
      </c>
      <c r="E68" s="2" t="s">
        <v>11</v>
      </c>
      <c r="F68" s="3"/>
      <c r="G68" s="2"/>
    </row>
    <row r="69" spans="1:7" x14ac:dyDescent="0.35">
      <c r="A69" s="2" t="s">
        <v>159</v>
      </c>
      <c r="B69" s="2" t="s">
        <v>160</v>
      </c>
      <c r="C69" s="2" t="s">
        <v>24</v>
      </c>
      <c r="D69" s="2" t="s">
        <v>10</v>
      </c>
      <c r="E69" s="2" t="s">
        <v>11</v>
      </c>
      <c r="F69" s="3"/>
      <c r="G69" s="2"/>
    </row>
    <row r="70" spans="1:7" x14ac:dyDescent="0.35">
      <c r="A70" s="2" t="s">
        <v>161</v>
      </c>
      <c r="B70" s="2" t="s">
        <v>162</v>
      </c>
      <c r="C70" s="2" t="s">
        <v>14</v>
      </c>
      <c r="D70" s="2" t="s">
        <v>10</v>
      </c>
      <c r="E70" s="2" t="s">
        <v>11</v>
      </c>
      <c r="F70" s="3"/>
      <c r="G70" s="2"/>
    </row>
    <row r="71" spans="1:7" x14ac:dyDescent="0.35">
      <c r="A71" s="2" t="s">
        <v>163</v>
      </c>
      <c r="B71" s="2" t="s">
        <v>164</v>
      </c>
      <c r="C71" s="2" t="s">
        <v>14</v>
      </c>
      <c r="D71" s="2" t="s">
        <v>10</v>
      </c>
      <c r="E71" s="2" t="s">
        <v>11</v>
      </c>
      <c r="F71" s="3"/>
      <c r="G71" s="2"/>
    </row>
    <row r="72" spans="1:7" x14ac:dyDescent="0.35">
      <c r="A72" s="2" t="s">
        <v>165</v>
      </c>
      <c r="B72" s="2" t="s">
        <v>166</v>
      </c>
      <c r="C72" s="2" t="s">
        <v>14</v>
      </c>
      <c r="D72" s="2" t="s">
        <v>10</v>
      </c>
      <c r="E72" s="2" t="s">
        <v>11</v>
      </c>
      <c r="F72" s="3"/>
      <c r="G72" s="2"/>
    </row>
    <row r="73" spans="1:7" x14ac:dyDescent="0.35">
      <c r="A73" s="2" t="s">
        <v>167</v>
      </c>
      <c r="B73" s="2" t="s">
        <v>168</v>
      </c>
      <c r="C73" s="2" t="s">
        <v>169</v>
      </c>
      <c r="D73" s="2" t="s">
        <v>10</v>
      </c>
      <c r="E73" s="2" t="s">
        <v>11</v>
      </c>
      <c r="F73" s="3"/>
      <c r="G73" s="2"/>
    </row>
    <row r="74" spans="1:7" x14ac:dyDescent="0.35">
      <c r="A74" s="2" t="s">
        <v>170</v>
      </c>
      <c r="B74" s="2" t="s">
        <v>171</v>
      </c>
      <c r="C74" s="2" t="s">
        <v>24</v>
      </c>
      <c r="D74" s="2" t="s">
        <v>10</v>
      </c>
      <c r="E74" s="2" t="s">
        <v>11</v>
      </c>
      <c r="F74" s="3"/>
      <c r="G74" s="2"/>
    </row>
    <row r="75" spans="1:7" x14ac:dyDescent="0.35">
      <c r="A75" s="2" t="s">
        <v>172</v>
      </c>
      <c r="B75" s="2" t="s">
        <v>173</v>
      </c>
      <c r="C75" s="2" t="s">
        <v>14</v>
      </c>
      <c r="D75" s="2" t="s">
        <v>10</v>
      </c>
      <c r="E75" s="2" t="s">
        <v>11</v>
      </c>
      <c r="F75" s="3"/>
      <c r="G75" s="2"/>
    </row>
    <row r="76" spans="1:7" x14ac:dyDescent="0.35">
      <c r="A76" s="2" t="s">
        <v>174</v>
      </c>
      <c r="B76" s="2" t="s">
        <v>175</v>
      </c>
      <c r="C76" s="2" t="s">
        <v>176</v>
      </c>
      <c r="D76" s="2" t="s">
        <v>10</v>
      </c>
      <c r="E76" s="2" t="s">
        <v>11</v>
      </c>
      <c r="F76" s="3"/>
      <c r="G76" s="2"/>
    </row>
    <row r="77" spans="1:7" x14ac:dyDescent="0.35">
      <c r="A77" s="2" t="s">
        <v>177</v>
      </c>
      <c r="B77" s="2" t="s">
        <v>178</v>
      </c>
      <c r="C77" s="2" t="s">
        <v>14</v>
      </c>
      <c r="D77" s="2" t="s">
        <v>10</v>
      </c>
      <c r="E77" s="2" t="s">
        <v>11</v>
      </c>
      <c r="F77" s="3"/>
      <c r="G77" s="2"/>
    </row>
    <row r="78" spans="1:7" x14ac:dyDescent="0.35">
      <c r="A78" s="2" t="s">
        <v>179</v>
      </c>
      <c r="B78" s="2" t="s">
        <v>180</v>
      </c>
      <c r="C78" s="2" t="s">
        <v>14</v>
      </c>
      <c r="D78" s="2" t="s">
        <v>10</v>
      </c>
      <c r="E78" s="2" t="s">
        <v>11</v>
      </c>
      <c r="F78" s="3"/>
      <c r="G78" s="2"/>
    </row>
    <row r="79" spans="1:7" x14ac:dyDescent="0.35">
      <c r="A79" s="2" t="s">
        <v>181</v>
      </c>
      <c r="B79" s="2" t="s">
        <v>182</v>
      </c>
      <c r="C79" s="2" t="s">
        <v>24</v>
      </c>
      <c r="D79" s="2" t="s">
        <v>10</v>
      </c>
      <c r="E79" s="2" t="s">
        <v>11</v>
      </c>
      <c r="F79" s="3"/>
      <c r="G79" s="2"/>
    </row>
    <row r="80" spans="1:7" x14ac:dyDescent="0.35">
      <c r="A80" s="2" t="s">
        <v>183</v>
      </c>
      <c r="B80" s="2" t="s">
        <v>184</v>
      </c>
      <c r="C80" s="2" t="s">
        <v>185</v>
      </c>
      <c r="D80" s="2" t="s">
        <v>10</v>
      </c>
      <c r="E80" s="2" t="s">
        <v>11</v>
      </c>
      <c r="F80" s="3"/>
      <c r="G80" s="2"/>
    </row>
    <row r="81" spans="1:7" x14ac:dyDescent="0.35">
      <c r="A81" s="2" t="s">
        <v>186</v>
      </c>
      <c r="B81" s="2" t="s">
        <v>187</v>
      </c>
      <c r="C81" s="2" t="s">
        <v>45</v>
      </c>
      <c r="D81" s="2" t="s">
        <v>10</v>
      </c>
      <c r="E81" s="2" t="s">
        <v>11</v>
      </c>
      <c r="F81" s="3"/>
      <c r="G81" s="2"/>
    </row>
    <row r="82" spans="1:7" x14ac:dyDescent="0.35">
      <c r="A82" s="2" t="s">
        <v>188</v>
      </c>
      <c r="B82" s="2" t="s">
        <v>189</v>
      </c>
      <c r="C82" s="2" t="s">
        <v>34</v>
      </c>
      <c r="D82" s="2" t="s">
        <v>10</v>
      </c>
      <c r="E82" s="2" t="s">
        <v>11</v>
      </c>
      <c r="F82" s="3"/>
      <c r="G82" s="2"/>
    </row>
    <row r="83" spans="1:7" x14ac:dyDescent="0.35">
      <c r="A83" s="2" t="s">
        <v>190</v>
      </c>
      <c r="B83" s="2" t="s">
        <v>191</v>
      </c>
      <c r="C83" s="2" t="s">
        <v>14</v>
      </c>
      <c r="D83" s="2" t="s">
        <v>10</v>
      </c>
      <c r="E83" s="2" t="s">
        <v>11</v>
      </c>
      <c r="F83" s="3"/>
      <c r="G83" s="2"/>
    </row>
    <row r="84" spans="1:7" x14ac:dyDescent="0.35">
      <c r="A84" s="2" t="s">
        <v>192</v>
      </c>
      <c r="B84" s="2" t="s">
        <v>193</v>
      </c>
      <c r="C84" s="2" t="s">
        <v>194</v>
      </c>
      <c r="D84" s="2" t="s">
        <v>10</v>
      </c>
      <c r="E84" s="2" t="s">
        <v>11</v>
      </c>
      <c r="F84" s="3"/>
      <c r="G84" s="2"/>
    </row>
    <row r="85" spans="1:7" x14ac:dyDescent="0.35">
      <c r="A85" s="2" t="s">
        <v>195</v>
      </c>
      <c r="B85" s="2" t="s">
        <v>196</v>
      </c>
      <c r="C85" s="2" t="s">
        <v>14</v>
      </c>
      <c r="D85" s="2" t="s">
        <v>10</v>
      </c>
      <c r="E85" s="2" t="s">
        <v>11</v>
      </c>
      <c r="F85" s="3"/>
      <c r="G85" s="2"/>
    </row>
    <row r="86" spans="1:7" x14ac:dyDescent="0.35">
      <c r="A86" s="2" t="s">
        <v>197</v>
      </c>
      <c r="B86" s="2" t="s">
        <v>198</v>
      </c>
      <c r="C86" s="2" t="s">
        <v>19</v>
      </c>
      <c r="D86" s="2" t="s">
        <v>10</v>
      </c>
      <c r="E86" s="2" t="s">
        <v>11</v>
      </c>
      <c r="F86" s="3"/>
      <c r="G86" s="2"/>
    </row>
    <row r="87" spans="1:7" x14ac:dyDescent="0.35">
      <c r="A87" s="2" t="s">
        <v>199</v>
      </c>
      <c r="B87" s="2" t="s">
        <v>200</v>
      </c>
      <c r="C87" s="2" t="s">
        <v>14</v>
      </c>
      <c r="D87" s="2" t="s">
        <v>10</v>
      </c>
      <c r="E87" s="2" t="s">
        <v>11</v>
      </c>
      <c r="F87" s="3"/>
      <c r="G87" s="2"/>
    </row>
    <row r="88" spans="1:7" x14ac:dyDescent="0.35">
      <c r="A88" s="2" t="s">
        <v>201</v>
      </c>
      <c r="B88" s="2" t="s">
        <v>202</v>
      </c>
      <c r="C88" s="2" t="s">
        <v>14</v>
      </c>
      <c r="D88" s="2" t="s">
        <v>10</v>
      </c>
      <c r="E88" s="2" t="s">
        <v>11</v>
      </c>
      <c r="F88" s="3"/>
      <c r="G88" s="2"/>
    </row>
    <row r="89" spans="1:7" x14ac:dyDescent="0.35">
      <c r="A89" s="2" t="s">
        <v>203</v>
      </c>
      <c r="B89" s="2" t="s">
        <v>204</v>
      </c>
      <c r="C89" s="2" t="s">
        <v>14</v>
      </c>
      <c r="D89" s="2" t="s">
        <v>10</v>
      </c>
      <c r="E89" s="2" t="s">
        <v>11</v>
      </c>
      <c r="F89" s="3"/>
      <c r="G89" s="2"/>
    </row>
    <row r="90" spans="1:7" x14ac:dyDescent="0.35">
      <c r="A90" s="2" t="s">
        <v>205</v>
      </c>
      <c r="B90" s="2" t="s">
        <v>206</v>
      </c>
      <c r="C90" s="2" t="s">
        <v>24</v>
      </c>
      <c r="D90" s="2" t="s">
        <v>10</v>
      </c>
      <c r="E90" s="2" t="s">
        <v>11</v>
      </c>
      <c r="F90" s="3"/>
      <c r="G90" s="2"/>
    </row>
    <row r="91" spans="1:7" x14ac:dyDescent="0.35">
      <c r="A91" s="2" t="s">
        <v>207</v>
      </c>
      <c r="B91" s="2" t="s">
        <v>208</v>
      </c>
      <c r="C91" s="2" t="s">
        <v>24</v>
      </c>
      <c r="D91" s="2" t="s">
        <v>10</v>
      </c>
      <c r="E91" s="2" t="s">
        <v>11</v>
      </c>
      <c r="F91" s="3">
        <f>VLOOKUP(A91,'[1]DAFTAR GAJI'!$B$8:$CE$42,79,FALSE)</f>
        <v>9750</v>
      </c>
      <c r="G91" s="2"/>
    </row>
    <row r="92" spans="1:7" x14ac:dyDescent="0.35">
      <c r="A92" s="2" t="s">
        <v>209</v>
      </c>
      <c r="B92" s="2" t="s">
        <v>210</v>
      </c>
      <c r="C92" s="2" t="s">
        <v>211</v>
      </c>
      <c r="D92" s="2" t="s">
        <v>10</v>
      </c>
      <c r="E92" s="2" t="s">
        <v>11</v>
      </c>
      <c r="F92" s="3"/>
      <c r="G92" s="2"/>
    </row>
    <row r="93" spans="1:7" x14ac:dyDescent="0.35">
      <c r="A93" s="2" t="s">
        <v>212</v>
      </c>
      <c r="B93" s="2" t="s">
        <v>213</v>
      </c>
      <c r="C93" s="2" t="s">
        <v>14</v>
      </c>
      <c r="D93" s="2" t="s">
        <v>10</v>
      </c>
      <c r="E93" s="2" t="s">
        <v>11</v>
      </c>
      <c r="F93" s="3"/>
      <c r="G93" s="2"/>
    </row>
    <row r="94" spans="1:7" x14ac:dyDescent="0.35">
      <c r="A94" s="2" t="s">
        <v>214</v>
      </c>
      <c r="B94" s="2" t="s">
        <v>215</v>
      </c>
      <c r="C94" s="2" t="s">
        <v>24</v>
      </c>
      <c r="D94" s="2" t="s">
        <v>10</v>
      </c>
      <c r="E94" s="2" t="s">
        <v>11</v>
      </c>
      <c r="F94" s="3"/>
      <c r="G94" s="2"/>
    </row>
    <row r="95" spans="1:7" x14ac:dyDescent="0.35">
      <c r="A95" s="2" t="s">
        <v>216</v>
      </c>
      <c r="B95" s="2" t="s">
        <v>215</v>
      </c>
      <c r="C95" s="2" t="s">
        <v>217</v>
      </c>
      <c r="D95" s="2" t="s">
        <v>10</v>
      </c>
      <c r="E95" s="2" t="s">
        <v>11</v>
      </c>
      <c r="F95" s="3"/>
      <c r="G95" s="2"/>
    </row>
    <row r="96" spans="1:7" x14ac:dyDescent="0.35">
      <c r="A96" s="2" t="s">
        <v>218</v>
      </c>
      <c r="B96" s="2" t="s">
        <v>219</v>
      </c>
      <c r="C96" s="2" t="s">
        <v>14</v>
      </c>
      <c r="D96" s="2" t="s">
        <v>10</v>
      </c>
      <c r="E96" s="2" t="s">
        <v>11</v>
      </c>
      <c r="F96" s="3"/>
      <c r="G96" s="2"/>
    </row>
    <row r="97" spans="1:7" x14ac:dyDescent="0.35">
      <c r="A97" s="2" t="s">
        <v>220</v>
      </c>
      <c r="B97" s="2" t="s">
        <v>221</v>
      </c>
      <c r="C97" s="2" t="s">
        <v>222</v>
      </c>
      <c r="D97" s="2" t="s">
        <v>10</v>
      </c>
      <c r="E97" s="2" t="s">
        <v>11</v>
      </c>
      <c r="F97" s="3"/>
      <c r="G97" s="2"/>
    </row>
    <row r="98" spans="1:7" x14ac:dyDescent="0.35">
      <c r="A98" s="2" t="s">
        <v>223</v>
      </c>
      <c r="B98" s="2" t="s">
        <v>224</v>
      </c>
      <c r="C98" s="2" t="s">
        <v>24</v>
      </c>
      <c r="D98" s="2" t="s">
        <v>10</v>
      </c>
      <c r="E98" s="2" t="s">
        <v>11</v>
      </c>
      <c r="F98" s="3"/>
      <c r="G98" s="2"/>
    </row>
    <row r="99" spans="1:7" x14ac:dyDescent="0.35">
      <c r="A99" s="2" t="s">
        <v>225</v>
      </c>
      <c r="B99" s="2" t="s">
        <v>226</v>
      </c>
      <c r="C99" s="2" t="s">
        <v>227</v>
      </c>
      <c r="D99" s="2" t="s">
        <v>10</v>
      </c>
      <c r="E99" s="2" t="s">
        <v>11</v>
      </c>
      <c r="F99" s="3"/>
      <c r="G99" s="2"/>
    </row>
    <row r="100" spans="1:7" x14ac:dyDescent="0.35">
      <c r="A100" s="2" t="s">
        <v>228</v>
      </c>
      <c r="B100" s="2" t="s">
        <v>229</v>
      </c>
      <c r="C100" s="2" t="s">
        <v>108</v>
      </c>
      <c r="D100" s="2" t="s">
        <v>10</v>
      </c>
      <c r="E100" s="2" t="s">
        <v>11</v>
      </c>
      <c r="F100" s="3"/>
      <c r="G100" s="2"/>
    </row>
    <row r="101" spans="1:7" x14ac:dyDescent="0.35">
      <c r="A101" s="2" t="s">
        <v>230</v>
      </c>
      <c r="B101" s="2" t="s">
        <v>231</v>
      </c>
      <c r="C101" s="2" t="s">
        <v>14</v>
      </c>
      <c r="D101" s="2" t="s">
        <v>10</v>
      </c>
      <c r="E101" s="2" t="s">
        <v>11</v>
      </c>
      <c r="F101" s="3"/>
      <c r="G101" s="2"/>
    </row>
    <row r="102" spans="1:7" x14ac:dyDescent="0.35">
      <c r="A102" s="2" t="s">
        <v>232</v>
      </c>
      <c r="B102" s="2" t="s">
        <v>233</v>
      </c>
      <c r="C102" s="2" t="s">
        <v>24</v>
      </c>
      <c r="D102" s="2" t="s">
        <v>10</v>
      </c>
      <c r="E102" s="2" t="s">
        <v>11</v>
      </c>
      <c r="F102" s="3"/>
      <c r="G102" s="2"/>
    </row>
    <row r="103" spans="1:7" x14ac:dyDescent="0.35">
      <c r="A103" s="2" t="s">
        <v>699</v>
      </c>
      <c r="B103" s="2" t="s">
        <v>700</v>
      </c>
      <c r="C103" s="2" t="s">
        <v>24</v>
      </c>
      <c r="D103" s="2" t="s">
        <v>10</v>
      </c>
      <c r="E103" s="2" t="s">
        <v>11</v>
      </c>
      <c r="F103" s="3"/>
      <c r="G103" s="2"/>
    </row>
    <row r="104" spans="1:7" x14ac:dyDescent="0.35">
      <c r="A104" s="2" t="s">
        <v>234</v>
      </c>
      <c r="B104" s="2" t="s">
        <v>235</v>
      </c>
      <c r="C104" s="2" t="s">
        <v>14</v>
      </c>
      <c r="D104" s="2" t="s">
        <v>10</v>
      </c>
      <c r="E104" s="2" t="s">
        <v>11</v>
      </c>
      <c r="F104" s="3"/>
      <c r="G104" s="2"/>
    </row>
    <row r="105" spans="1:7" x14ac:dyDescent="0.35">
      <c r="A105" s="2" t="s">
        <v>236</v>
      </c>
      <c r="B105" s="2" t="s">
        <v>237</v>
      </c>
      <c r="C105" s="2" t="s">
        <v>14</v>
      </c>
      <c r="D105" s="2" t="s">
        <v>10</v>
      </c>
      <c r="E105" s="2" t="s">
        <v>11</v>
      </c>
      <c r="F105" s="3"/>
      <c r="G105" s="2"/>
    </row>
    <row r="106" spans="1:7" x14ac:dyDescent="0.35">
      <c r="A106" s="2" t="s">
        <v>238</v>
      </c>
      <c r="B106" s="2" t="s">
        <v>239</v>
      </c>
      <c r="C106" s="2" t="s">
        <v>156</v>
      </c>
      <c r="D106" s="2" t="s">
        <v>10</v>
      </c>
      <c r="E106" s="2" t="s">
        <v>11</v>
      </c>
      <c r="F106" s="3"/>
      <c r="G106" s="2"/>
    </row>
    <row r="107" spans="1:7" x14ac:dyDescent="0.35">
      <c r="A107" s="2" t="s">
        <v>240</v>
      </c>
      <c r="B107" s="2" t="s">
        <v>241</v>
      </c>
      <c r="C107" s="2" t="s">
        <v>14</v>
      </c>
      <c r="D107" s="2" t="s">
        <v>10</v>
      </c>
      <c r="E107" s="2" t="s">
        <v>11</v>
      </c>
      <c r="F107" s="3"/>
      <c r="G107" s="2"/>
    </row>
    <row r="108" spans="1:7" x14ac:dyDescent="0.35">
      <c r="A108" s="2" t="s">
        <v>242</v>
      </c>
      <c r="B108" s="2" t="s">
        <v>243</v>
      </c>
      <c r="C108" s="2" t="s">
        <v>14</v>
      </c>
      <c r="D108" s="2" t="s">
        <v>10</v>
      </c>
      <c r="E108" s="2" t="s">
        <v>11</v>
      </c>
      <c r="F108" s="3"/>
      <c r="G108" s="2"/>
    </row>
    <row r="109" spans="1:7" x14ac:dyDescent="0.35">
      <c r="A109" s="2" t="s">
        <v>244</v>
      </c>
      <c r="B109" s="2" t="s">
        <v>245</v>
      </c>
      <c r="C109" s="2" t="s">
        <v>246</v>
      </c>
      <c r="D109" s="2" t="s">
        <v>10</v>
      </c>
      <c r="E109" s="2" t="s">
        <v>11</v>
      </c>
      <c r="F109" s="3"/>
      <c r="G109" s="2"/>
    </row>
    <row r="110" spans="1:7" x14ac:dyDescent="0.35">
      <c r="A110" s="2" t="s">
        <v>247</v>
      </c>
      <c r="B110" s="2" t="s">
        <v>248</v>
      </c>
      <c r="C110" s="2" t="s">
        <v>14</v>
      </c>
      <c r="D110" s="2" t="s">
        <v>10</v>
      </c>
      <c r="E110" s="2" t="s">
        <v>11</v>
      </c>
      <c r="F110" s="3"/>
      <c r="G110" s="2"/>
    </row>
    <row r="111" spans="1:7" x14ac:dyDescent="0.35">
      <c r="A111" s="2" t="s">
        <v>249</v>
      </c>
      <c r="B111" s="2" t="s">
        <v>250</v>
      </c>
      <c r="C111" s="2" t="s">
        <v>24</v>
      </c>
      <c r="D111" s="2" t="s">
        <v>10</v>
      </c>
      <c r="E111" s="2" t="s">
        <v>11</v>
      </c>
      <c r="F111" s="3"/>
      <c r="G111" s="2"/>
    </row>
    <row r="112" spans="1:7" x14ac:dyDescent="0.35">
      <c r="A112" s="2" t="s">
        <v>251</v>
      </c>
      <c r="B112" s="2" t="s">
        <v>252</v>
      </c>
      <c r="C112" s="2" t="s">
        <v>24</v>
      </c>
      <c r="D112" s="2" t="s">
        <v>10</v>
      </c>
      <c r="E112" s="2" t="s">
        <v>11</v>
      </c>
      <c r="F112" s="3"/>
      <c r="G112" s="2"/>
    </row>
    <row r="113" spans="1:7" x14ac:dyDescent="0.35">
      <c r="A113" s="2" t="s">
        <v>253</v>
      </c>
      <c r="B113" s="2" t="s">
        <v>254</v>
      </c>
      <c r="C113" s="2" t="s">
        <v>14</v>
      </c>
      <c r="D113" s="2" t="s">
        <v>10</v>
      </c>
      <c r="E113" s="2" t="s">
        <v>11</v>
      </c>
      <c r="F113" s="3"/>
      <c r="G113" s="2"/>
    </row>
    <row r="114" spans="1:7" x14ac:dyDescent="0.35">
      <c r="A114" s="2" t="s">
        <v>255</v>
      </c>
      <c r="B114" s="2" t="s">
        <v>256</v>
      </c>
      <c r="C114" s="2" t="s">
        <v>14</v>
      </c>
      <c r="D114" s="2" t="s">
        <v>10</v>
      </c>
      <c r="E114" s="2" t="s">
        <v>11</v>
      </c>
      <c r="F114" s="3"/>
      <c r="G114" s="2"/>
    </row>
    <row r="115" spans="1:7" x14ac:dyDescent="0.35">
      <c r="A115" s="2" t="s">
        <v>257</v>
      </c>
      <c r="B115" s="2" t="s">
        <v>258</v>
      </c>
      <c r="C115" s="2" t="s">
        <v>24</v>
      </c>
      <c r="D115" s="2" t="s">
        <v>10</v>
      </c>
      <c r="E115" s="2" t="s">
        <v>11</v>
      </c>
      <c r="F115" s="3"/>
      <c r="G115" s="2"/>
    </row>
    <row r="116" spans="1:7" x14ac:dyDescent="0.35">
      <c r="A116" s="2" t="s">
        <v>259</v>
      </c>
      <c r="B116" s="2" t="s">
        <v>260</v>
      </c>
      <c r="C116" s="2" t="s">
        <v>261</v>
      </c>
      <c r="D116" s="2" t="s">
        <v>10</v>
      </c>
      <c r="E116" s="2" t="s">
        <v>11</v>
      </c>
      <c r="F116" s="3"/>
      <c r="G116" s="2"/>
    </row>
    <row r="117" spans="1:7" x14ac:dyDescent="0.35">
      <c r="A117" s="2" t="s">
        <v>262</v>
      </c>
      <c r="B117" s="2" t="s">
        <v>263</v>
      </c>
      <c r="C117" s="2" t="s">
        <v>264</v>
      </c>
      <c r="D117" s="2" t="s">
        <v>10</v>
      </c>
      <c r="E117" s="2" t="s">
        <v>11</v>
      </c>
      <c r="F117" s="3"/>
      <c r="G117" s="2"/>
    </row>
    <row r="118" spans="1:7" x14ac:dyDescent="0.35">
      <c r="A118" s="2" t="s">
        <v>265</v>
      </c>
      <c r="B118" s="2" t="s">
        <v>266</v>
      </c>
      <c r="C118" s="2" t="s">
        <v>24</v>
      </c>
      <c r="D118" s="2" t="s">
        <v>10</v>
      </c>
      <c r="E118" s="2" t="s">
        <v>11</v>
      </c>
      <c r="F118" s="3"/>
      <c r="G118" s="2"/>
    </row>
    <row r="119" spans="1:7" x14ac:dyDescent="0.35">
      <c r="A119" s="2" t="s">
        <v>267</v>
      </c>
      <c r="B119" s="2" t="s">
        <v>268</v>
      </c>
      <c r="C119" s="2" t="s">
        <v>14</v>
      </c>
      <c r="D119" s="2" t="s">
        <v>10</v>
      </c>
      <c r="E119" s="2" t="s">
        <v>11</v>
      </c>
      <c r="F119" s="3"/>
      <c r="G119" s="2"/>
    </row>
    <row r="120" spans="1:7" x14ac:dyDescent="0.35">
      <c r="A120" s="2" t="s">
        <v>269</v>
      </c>
      <c r="B120" s="2" t="s">
        <v>270</v>
      </c>
      <c r="C120" s="2" t="s">
        <v>14</v>
      </c>
      <c r="D120" s="2" t="s">
        <v>10</v>
      </c>
      <c r="E120" s="2" t="s">
        <v>11</v>
      </c>
      <c r="F120" s="3"/>
      <c r="G120" s="2"/>
    </row>
    <row r="121" spans="1:7" x14ac:dyDescent="0.35">
      <c r="A121" s="2" t="s">
        <v>271</v>
      </c>
      <c r="B121" s="2" t="s">
        <v>272</v>
      </c>
      <c r="C121" s="2" t="s">
        <v>24</v>
      </c>
      <c r="D121" s="2" t="s">
        <v>10</v>
      </c>
      <c r="E121" s="2" t="s">
        <v>11</v>
      </c>
      <c r="F121" s="3"/>
      <c r="G121" s="2"/>
    </row>
    <row r="122" spans="1:7" x14ac:dyDescent="0.35">
      <c r="A122" s="2" t="s">
        <v>273</v>
      </c>
      <c r="B122" s="2" t="s">
        <v>274</v>
      </c>
      <c r="C122" s="2" t="s">
        <v>14</v>
      </c>
      <c r="D122" s="2" t="s">
        <v>10</v>
      </c>
      <c r="E122" s="2" t="s">
        <v>11</v>
      </c>
      <c r="F122" s="3"/>
      <c r="G122" s="2"/>
    </row>
    <row r="123" spans="1:7" x14ac:dyDescent="0.35">
      <c r="A123" s="2" t="s">
        <v>275</v>
      </c>
      <c r="B123" s="2" t="s">
        <v>276</v>
      </c>
      <c r="C123" s="2" t="s">
        <v>24</v>
      </c>
      <c r="D123" s="2" t="s">
        <v>10</v>
      </c>
      <c r="E123" s="2" t="s">
        <v>11</v>
      </c>
      <c r="F123" s="3"/>
      <c r="G123" s="2"/>
    </row>
    <row r="124" spans="1:7" x14ac:dyDescent="0.35">
      <c r="A124" s="2" t="s">
        <v>277</v>
      </c>
      <c r="B124" s="2" t="s">
        <v>278</v>
      </c>
      <c r="C124" s="2" t="s">
        <v>129</v>
      </c>
      <c r="D124" s="2" t="s">
        <v>10</v>
      </c>
      <c r="E124" s="2" t="s">
        <v>11</v>
      </c>
      <c r="F124" s="3"/>
      <c r="G124" s="2"/>
    </row>
    <row r="125" spans="1:7" x14ac:dyDescent="0.35">
      <c r="A125" s="2" t="s">
        <v>279</v>
      </c>
      <c r="B125" s="2" t="s">
        <v>280</v>
      </c>
      <c r="C125" s="2" t="s">
        <v>24</v>
      </c>
      <c r="D125" s="2" t="s">
        <v>10</v>
      </c>
      <c r="E125" s="2" t="s">
        <v>11</v>
      </c>
      <c r="F125" s="3"/>
      <c r="G125" s="2"/>
    </row>
    <row r="126" spans="1:7" x14ac:dyDescent="0.35">
      <c r="A126" s="2" t="s">
        <v>281</v>
      </c>
      <c r="B126" s="2" t="s">
        <v>282</v>
      </c>
      <c r="C126" s="2" t="s">
        <v>211</v>
      </c>
      <c r="D126" s="2" t="s">
        <v>10</v>
      </c>
      <c r="E126" s="2" t="s">
        <v>11</v>
      </c>
      <c r="F126" s="3"/>
      <c r="G126" s="2"/>
    </row>
    <row r="127" spans="1:7" x14ac:dyDescent="0.35">
      <c r="A127" s="2" t="s">
        <v>283</v>
      </c>
      <c r="B127" s="2" t="s">
        <v>284</v>
      </c>
      <c r="C127" s="2" t="s">
        <v>24</v>
      </c>
      <c r="D127" s="2" t="s">
        <v>10</v>
      </c>
      <c r="E127" s="2" t="s">
        <v>11</v>
      </c>
      <c r="F127" s="3"/>
      <c r="G127" s="2"/>
    </row>
    <row r="128" spans="1:7" x14ac:dyDescent="0.35">
      <c r="A128" s="2" t="s">
        <v>285</v>
      </c>
      <c r="B128" s="2" t="s">
        <v>286</v>
      </c>
      <c r="C128" s="2" t="s">
        <v>14</v>
      </c>
      <c r="D128" s="2" t="s">
        <v>10</v>
      </c>
      <c r="E128" s="2" t="s">
        <v>11</v>
      </c>
      <c r="F128" s="3"/>
      <c r="G128" s="2"/>
    </row>
    <row r="129" spans="1:7" x14ac:dyDescent="0.35">
      <c r="A129" s="2" t="s">
        <v>287</v>
      </c>
      <c r="B129" s="2" t="s">
        <v>288</v>
      </c>
      <c r="C129" s="2" t="s">
        <v>14</v>
      </c>
      <c r="D129" s="2" t="s">
        <v>10</v>
      </c>
      <c r="E129" s="2" t="s">
        <v>11</v>
      </c>
      <c r="F129" s="3"/>
      <c r="G129" s="2"/>
    </row>
    <row r="130" spans="1:7" x14ac:dyDescent="0.35">
      <c r="A130" s="2" t="s">
        <v>289</v>
      </c>
      <c r="B130" s="2" t="s">
        <v>290</v>
      </c>
      <c r="C130" s="2" t="s">
        <v>14</v>
      </c>
      <c r="D130" s="2" t="s">
        <v>10</v>
      </c>
      <c r="E130" s="2" t="s">
        <v>11</v>
      </c>
      <c r="F130" s="3"/>
      <c r="G130" s="2"/>
    </row>
    <row r="131" spans="1:7" x14ac:dyDescent="0.35">
      <c r="A131" s="2" t="s">
        <v>291</v>
      </c>
      <c r="B131" s="2" t="s">
        <v>292</v>
      </c>
      <c r="C131" s="2" t="s">
        <v>24</v>
      </c>
      <c r="D131" s="2" t="s">
        <v>10</v>
      </c>
      <c r="E131" s="2" t="s">
        <v>11</v>
      </c>
      <c r="F131" s="3"/>
      <c r="G131" s="2"/>
    </row>
    <row r="132" spans="1:7" x14ac:dyDescent="0.35">
      <c r="A132" s="2" t="s">
        <v>293</v>
      </c>
      <c r="B132" s="2" t="s">
        <v>294</v>
      </c>
      <c r="C132" s="2" t="s">
        <v>295</v>
      </c>
      <c r="D132" s="2" t="s">
        <v>10</v>
      </c>
      <c r="E132" s="2" t="s">
        <v>11</v>
      </c>
      <c r="F132" s="3"/>
      <c r="G132" s="2"/>
    </row>
    <row r="133" spans="1:7" x14ac:dyDescent="0.35">
      <c r="A133" s="2" t="s">
        <v>296</v>
      </c>
      <c r="B133" s="2" t="s">
        <v>297</v>
      </c>
      <c r="C133" s="2" t="s">
        <v>24</v>
      </c>
      <c r="D133" s="2" t="s">
        <v>10</v>
      </c>
      <c r="E133" s="2" t="s">
        <v>11</v>
      </c>
      <c r="F133" s="3"/>
      <c r="G133" s="2"/>
    </row>
    <row r="134" spans="1:7" x14ac:dyDescent="0.35">
      <c r="A134" s="2" t="s">
        <v>298</v>
      </c>
      <c r="B134" s="2" t="s">
        <v>299</v>
      </c>
      <c r="C134" s="2" t="s">
        <v>24</v>
      </c>
      <c r="D134" s="2" t="s">
        <v>10</v>
      </c>
      <c r="E134" s="2" t="s">
        <v>11</v>
      </c>
      <c r="F134" s="3"/>
      <c r="G134" s="2"/>
    </row>
    <row r="135" spans="1:7" x14ac:dyDescent="0.35">
      <c r="A135" s="2" t="s">
        <v>300</v>
      </c>
      <c r="B135" s="2" t="s">
        <v>301</v>
      </c>
      <c r="C135" s="2" t="s">
        <v>24</v>
      </c>
      <c r="D135" s="2" t="s">
        <v>10</v>
      </c>
      <c r="E135" s="2" t="s">
        <v>11</v>
      </c>
      <c r="F135" s="3"/>
      <c r="G135" s="2"/>
    </row>
    <row r="136" spans="1:7" x14ac:dyDescent="0.35">
      <c r="A136" s="2" t="s">
        <v>302</v>
      </c>
      <c r="B136" s="2" t="s">
        <v>303</v>
      </c>
      <c r="C136" s="2" t="s">
        <v>24</v>
      </c>
      <c r="D136" s="2" t="s">
        <v>10</v>
      </c>
      <c r="E136" s="2" t="s">
        <v>11</v>
      </c>
      <c r="F136" s="3"/>
      <c r="G136" s="2"/>
    </row>
    <row r="137" spans="1:7" x14ac:dyDescent="0.35">
      <c r="A137" s="2" t="s">
        <v>304</v>
      </c>
      <c r="B137" s="2" t="s">
        <v>305</v>
      </c>
      <c r="C137" s="2" t="s">
        <v>14</v>
      </c>
      <c r="D137" s="2" t="s">
        <v>10</v>
      </c>
      <c r="E137" s="2" t="s">
        <v>11</v>
      </c>
      <c r="F137" s="3"/>
      <c r="G137" s="2"/>
    </row>
    <row r="138" spans="1:7" x14ac:dyDescent="0.35">
      <c r="A138" s="2" t="s">
        <v>306</v>
      </c>
      <c r="B138" s="2" t="s">
        <v>307</v>
      </c>
      <c r="C138" s="2" t="s">
        <v>24</v>
      </c>
      <c r="D138" s="2" t="s">
        <v>10</v>
      </c>
      <c r="E138" s="2" t="s">
        <v>11</v>
      </c>
      <c r="F138" s="3"/>
      <c r="G138" s="2"/>
    </row>
    <row r="139" spans="1:7" x14ac:dyDescent="0.35">
      <c r="A139" s="2" t="s">
        <v>308</v>
      </c>
      <c r="B139" s="2" t="s">
        <v>309</v>
      </c>
      <c r="C139" s="2" t="s">
        <v>24</v>
      </c>
      <c r="D139" s="2" t="s">
        <v>10</v>
      </c>
      <c r="E139" s="2" t="s">
        <v>11</v>
      </c>
      <c r="F139" s="3"/>
      <c r="G139" s="2"/>
    </row>
    <row r="140" spans="1:7" x14ac:dyDescent="0.35">
      <c r="A140" s="2" t="s">
        <v>310</v>
      </c>
      <c r="B140" s="2" t="s">
        <v>309</v>
      </c>
      <c r="C140" s="2" t="s">
        <v>217</v>
      </c>
      <c r="D140" s="2" t="s">
        <v>10</v>
      </c>
      <c r="E140" s="2" t="s">
        <v>11</v>
      </c>
      <c r="F140" s="3"/>
      <c r="G140" s="2"/>
    </row>
    <row r="141" spans="1:7" x14ac:dyDescent="0.35">
      <c r="A141" s="2" t="s">
        <v>311</v>
      </c>
      <c r="B141" s="2" t="s">
        <v>312</v>
      </c>
      <c r="C141" s="2" t="s">
        <v>39</v>
      </c>
      <c r="D141" s="2" t="s">
        <v>10</v>
      </c>
      <c r="E141" s="2" t="s">
        <v>11</v>
      </c>
      <c r="F141" s="3"/>
      <c r="G141" s="2"/>
    </row>
    <row r="142" spans="1:7" x14ac:dyDescent="0.35">
      <c r="A142" s="2" t="s">
        <v>313</v>
      </c>
      <c r="B142" s="2" t="s">
        <v>314</v>
      </c>
      <c r="C142" s="2" t="s">
        <v>24</v>
      </c>
      <c r="D142" s="2" t="s">
        <v>10</v>
      </c>
      <c r="E142" s="2" t="s">
        <v>11</v>
      </c>
      <c r="F142" s="3"/>
      <c r="G142" s="2"/>
    </row>
    <row r="143" spans="1:7" x14ac:dyDescent="0.35">
      <c r="A143" s="2" t="s">
        <v>315</v>
      </c>
      <c r="B143" s="2" t="s">
        <v>316</v>
      </c>
      <c r="C143" s="2" t="s">
        <v>19</v>
      </c>
      <c r="D143" s="2" t="s">
        <v>10</v>
      </c>
      <c r="E143" s="2" t="s">
        <v>11</v>
      </c>
      <c r="F143" s="3"/>
      <c r="G143" s="2"/>
    </row>
    <row r="144" spans="1:7" x14ac:dyDescent="0.35">
      <c r="A144" s="2" t="s">
        <v>317</v>
      </c>
      <c r="B144" s="2" t="s">
        <v>318</v>
      </c>
      <c r="C144" s="2" t="s">
        <v>14</v>
      </c>
      <c r="D144" s="2" t="s">
        <v>10</v>
      </c>
      <c r="E144" s="2" t="s">
        <v>11</v>
      </c>
      <c r="F144" s="3"/>
      <c r="G144" s="2"/>
    </row>
    <row r="145" spans="1:7" x14ac:dyDescent="0.35">
      <c r="A145" s="2" t="s">
        <v>319</v>
      </c>
      <c r="B145" s="2" t="s">
        <v>320</v>
      </c>
      <c r="C145" s="2" t="s">
        <v>14</v>
      </c>
      <c r="D145" s="2" t="s">
        <v>10</v>
      </c>
      <c r="E145" s="2" t="s">
        <v>11</v>
      </c>
      <c r="F145" s="3"/>
      <c r="G145" s="2"/>
    </row>
    <row r="146" spans="1:7" x14ac:dyDescent="0.35">
      <c r="A146" s="2" t="s">
        <v>321</v>
      </c>
      <c r="B146" s="2" t="s">
        <v>322</v>
      </c>
      <c r="C146" s="2" t="s">
        <v>24</v>
      </c>
      <c r="D146" s="2" t="s">
        <v>10</v>
      </c>
      <c r="E146" s="2" t="s">
        <v>11</v>
      </c>
      <c r="F146" s="3"/>
      <c r="G146" s="2"/>
    </row>
    <row r="147" spans="1:7" x14ac:dyDescent="0.35">
      <c r="A147" s="2" t="s">
        <v>323</v>
      </c>
      <c r="B147" s="2" t="s">
        <v>324</v>
      </c>
      <c r="C147" s="2" t="s">
        <v>325</v>
      </c>
      <c r="D147" s="2" t="s">
        <v>10</v>
      </c>
      <c r="E147" s="2" t="s">
        <v>11</v>
      </c>
      <c r="F147" s="3"/>
      <c r="G147" s="2"/>
    </row>
    <row r="148" spans="1:7" x14ac:dyDescent="0.35">
      <c r="A148" s="2" t="s">
        <v>326</v>
      </c>
      <c r="B148" s="2" t="s">
        <v>327</v>
      </c>
      <c r="C148" s="2" t="s">
        <v>14</v>
      </c>
      <c r="D148" s="2" t="s">
        <v>10</v>
      </c>
      <c r="E148" s="2" t="s">
        <v>11</v>
      </c>
      <c r="F148" s="3"/>
      <c r="G148" s="2"/>
    </row>
    <row r="149" spans="1:7" x14ac:dyDescent="0.35">
      <c r="A149" s="2" t="s">
        <v>328</v>
      </c>
      <c r="B149" s="2" t="s">
        <v>329</v>
      </c>
      <c r="C149" s="2" t="s">
        <v>14</v>
      </c>
      <c r="D149" s="2" t="s">
        <v>10</v>
      </c>
      <c r="E149" s="2" t="s">
        <v>11</v>
      </c>
      <c r="F149" s="3"/>
      <c r="G149" s="2"/>
    </row>
    <row r="150" spans="1:7" x14ac:dyDescent="0.35">
      <c r="A150" s="2" t="s">
        <v>330</v>
      </c>
      <c r="B150" s="2" t="s">
        <v>331</v>
      </c>
      <c r="C150" s="2" t="s">
        <v>24</v>
      </c>
      <c r="D150" s="2" t="s">
        <v>10</v>
      </c>
      <c r="E150" s="2" t="s">
        <v>11</v>
      </c>
      <c r="F150" s="3"/>
      <c r="G150" s="2"/>
    </row>
    <row r="151" spans="1:7" x14ac:dyDescent="0.35">
      <c r="A151" s="2" t="s">
        <v>332</v>
      </c>
      <c r="B151" s="2" t="s">
        <v>333</v>
      </c>
      <c r="C151" s="2" t="s">
        <v>14</v>
      </c>
      <c r="D151" s="2" t="s">
        <v>10</v>
      </c>
      <c r="E151" s="2" t="s">
        <v>11</v>
      </c>
      <c r="F151" s="3"/>
      <c r="G151" s="2"/>
    </row>
    <row r="152" spans="1:7" x14ac:dyDescent="0.35">
      <c r="A152" s="2" t="s">
        <v>334</v>
      </c>
      <c r="B152" s="2" t="s">
        <v>335</v>
      </c>
      <c r="C152" s="2" t="s">
        <v>14</v>
      </c>
      <c r="D152" s="2" t="s">
        <v>10</v>
      </c>
      <c r="E152" s="2" t="s">
        <v>11</v>
      </c>
      <c r="F152" s="3"/>
      <c r="G152" s="2"/>
    </row>
    <row r="153" spans="1:7" x14ac:dyDescent="0.35">
      <c r="A153" s="2" t="s">
        <v>336</v>
      </c>
      <c r="B153" s="2" t="s">
        <v>337</v>
      </c>
      <c r="C153" s="2" t="s">
        <v>14</v>
      </c>
      <c r="D153" s="2" t="s">
        <v>10</v>
      </c>
      <c r="E153" s="2" t="s">
        <v>11</v>
      </c>
      <c r="F153" s="3"/>
      <c r="G153" s="2"/>
    </row>
    <row r="154" spans="1:7" x14ac:dyDescent="0.35">
      <c r="A154" s="2" t="s">
        <v>338</v>
      </c>
      <c r="B154" s="2" t="s">
        <v>339</v>
      </c>
      <c r="C154" s="2" t="s">
        <v>14</v>
      </c>
      <c r="D154" s="2" t="s">
        <v>10</v>
      </c>
      <c r="E154" s="2" t="s">
        <v>11</v>
      </c>
      <c r="F154" s="3"/>
      <c r="G154" s="2"/>
    </row>
    <row r="155" spans="1:7" x14ac:dyDescent="0.35">
      <c r="A155" s="2" t="s">
        <v>340</v>
      </c>
      <c r="B155" s="2" t="s">
        <v>341</v>
      </c>
      <c r="C155" s="2" t="s">
        <v>14</v>
      </c>
      <c r="D155" s="2" t="s">
        <v>10</v>
      </c>
      <c r="E155" s="2" t="s">
        <v>11</v>
      </c>
      <c r="F155" s="3"/>
      <c r="G155" s="2"/>
    </row>
    <row r="156" spans="1:7" x14ac:dyDescent="0.35">
      <c r="A156" s="2" t="s">
        <v>342</v>
      </c>
      <c r="B156" s="2" t="s">
        <v>343</v>
      </c>
      <c r="C156" s="2" t="s">
        <v>14</v>
      </c>
      <c r="D156" s="2" t="s">
        <v>10</v>
      </c>
      <c r="E156" s="2" t="s">
        <v>11</v>
      </c>
      <c r="F156" s="3"/>
      <c r="G156" s="2"/>
    </row>
    <row r="157" spans="1:7" x14ac:dyDescent="0.35">
      <c r="A157" s="2" t="s">
        <v>344</v>
      </c>
      <c r="B157" s="2" t="s">
        <v>345</v>
      </c>
      <c r="C157" s="2" t="s">
        <v>14</v>
      </c>
      <c r="D157" s="2" t="s">
        <v>10</v>
      </c>
      <c r="E157" s="2" t="s">
        <v>11</v>
      </c>
      <c r="F157" s="3"/>
      <c r="G157" s="2"/>
    </row>
    <row r="158" spans="1:7" x14ac:dyDescent="0.35">
      <c r="A158" s="2" t="s">
        <v>346</v>
      </c>
      <c r="B158" s="2" t="s">
        <v>347</v>
      </c>
      <c r="C158" s="2" t="s">
        <v>45</v>
      </c>
      <c r="D158" s="2" t="s">
        <v>10</v>
      </c>
      <c r="E158" s="2" t="s">
        <v>11</v>
      </c>
      <c r="F158" s="3"/>
      <c r="G158" s="2"/>
    </row>
    <row r="159" spans="1:7" x14ac:dyDescent="0.35">
      <c r="A159" s="2" t="s">
        <v>348</v>
      </c>
      <c r="B159" s="2" t="s">
        <v>349</v>
      </c>
      <c r="C159" s="2" t="s">
        <v>24</v>
      </c>
      <c r="D159" s="2" t="s">
        <v>10</v>
      </c>
      <c r="E159" s="2" t="s">
        <v>11</v>
      </c>
      <c r="F159" s="3"/>
      <c r="G159" s="2"/>
    </row>
    <row r="160" spans="1:7" x14ac:dyDescent="0.35">
      <c r="A160" s="2" t="s">
        <v>350</v>
      </c>
      <c r="B160" s="2" t="s">
        <v>351</v>
      </c>
      <c r="C160" s="2" t="s">
        <v>14</v>
      </c>
      <c r="D160" s="2" t="s">
        <v>10</v>
      </c>
      <c r="E160" s="2" t="s">
        <v>11</v>
      </c>
      <c r="F160" s="3"/>
      <c r="G160" s="2"/>
    </row>
    <row r="161" spans="1:7" x14ac:dyDescent="0.35">
      <c r="A161" s="2" t="s">
        <v>352</v>
      </c>
      <c r="B161" s="2" t="s">
        <v>353</v>
      </c>
      <c r="C161" s="2" t="s">
        <v>45</v>
      </c>
      <c r="D161" s="2" t="s">
        <v>10</v>
      </c>
      <c r="E161" s="2" t="s">
        <v>11</v>
      </c>
      <c r="F161" s="3"/>
      <c r="G161" s="2"/>
    </row>
    <row r="162" spans="1:7" x14ac:dyDescent="0.35">
      <c r="A162" s="2" t="s">
        <v>703</v>
      </c>
      <c r="B162" s="2" t="s">
        <v>704</v>
      </c>
      <c r="C162" s="2" t="s">
        <v>24</v>
      </c>
      <c r="D162" s="2" t="s">
        <v>10</v>
      </c>
      <c r="E162" s="2" t="s">
        <v>11</v>
      </c>
      <c r="F162" s="3"/>
      <c r="G162" s="2"/>
    </row>
    <row r="163" spans="1:7" x14ac:dyDescent="0.35">
      <c r="A163" s="2" t="s">
        <v>354</v>
      </c>
      <c r="B163" s="2" t="s">
        <v>355</v>
      </c>
      <c r="C163" s="2" t="s">
        <v>24</v>
      </c>
      <c r="D163" s="2" t="s">
        <v>10</v>
      </c>
      <c r="E163" s="2" t="s">
        <v>11</v>
      </c>
      <c r="F163" s="3"/>
      <c r="G163" s="2"/>
    </row>
    <row r="164" spans="1:7" x14ac:dyDescent="0.35">
      <c r="A164" s="2" t="s">
        <v>356</v>
      </c>
      <c r="B164" s="2" t="s">
        <v>357</v>
      </c>
      <c r="C164" s="2" t="s">
        <v>14</v>
      </c>
      <c r="D164" s="2" t="s">
        <v>10</v>
      </c>
      <c r="E164" s="2" t="s">
        <v>11</v>
      </c>
      <c r="F164" s="3"/>
      <c r="G164" s="2"/>
    </row>
    <row r="165" spans="1:7" x14ac:dyDescent="0.35">
      <c r="A165" s="2" t="s">
        <v>358</v>
      </c>
      <c r="B165" s="2" t="s">
        <v>359</v>
      </c>
      <c r="C165" s="2" t="s">
        <v>39</v>
      </c>
      <c r="D165" s="2" t="s">
        <v>10</v>
      </c>
      <c r="E165" s="2" t="s">
        <v>11</v>
      </c>
      <c r="F165" s="3"/>
      <c r="G165" s="2"/>
    </row>
    <row r="166" spans="1:7" x14ac:dyDescent="0.35">
      <c r="A166" s="2" t="s">
        <v>360</v>
      </c>
      <c r="B166" s="2" t="s">
        <v>361</v>
      </c>
      <c r="C166" s="2" t="s">
        <v>39</v>
      </c>
      <c r="D166" s="2" t="s">
        <v>10</v>
      </c>
      <c r="E166" s="2" t="s">
        <v>11</v>
      </c>
      <c r="F166" s="3"/>
      <c r="G166" s="2"/>
    </row>
    <row r="167" spans="1:7" x14ac:dyDescent="0.35">
      <c r="A167" s="2" t="s">
        <v>362</v>
      </c>
      <c r="B167" s="2" t="s">
        <v>363</v>
      </c>
      <c r="C167" s="2" t="s">
        <v>24</v>
      </c>
      <c r="D167" s="2" t="s">
        <v>10</v>
      </c>
      <c r="E167" s="2" t="s">
        <v>11</v>
      </c>
      <c r="F167" s="3"/>
      <c r="G167" s="2"/>
    </row>
    <row r="168" spans="1:7" x14ac:dyDescent="0.35">
      <c r="A168" s="2" t="s">
        <v>364</v>
      </c>
      <c r="B168" s="2" t="s">
        <v>365</v>
      </c>
      <c r="C168" s="2" t="s">
        <v>14</v>
      </c>
      <c r="D168" s="2" t="s">
        <v>10</v>
      </c>
      <c r="E168" s="2" t="s">
        <v>11</v>
      </c>
      <c r="F168" s="3"/>
      <c r="G168" s="2"/>
    </row>
    <row r="169" spans="1:7" x14ac:dyDescent="0.35">
      <c r="A169" s="2" t="s">
        <v>366</v>
      </c>
      <c r="B169" s="2" t="s">
        <v>367</v>
      </c>
      <c r="C169" s="2" t="s">
        <v>176</v>
      </c>
      <c r="D169" s="2" t="s">
        <v>10</v>
      </c>
      <c r="E169" s="2" t="s">
        <v>11</v>
      </c>
      <c r="F169" s="3"/>
      <c r="G169" s="2"/>
    </row>
    <row r="170" spans="1:7" x14ac:dyDescent="0.35">
      <c r="A170" s="2" t="s">
        <v>368</v>
      </c>
      <c r="B170" s="2" t="s">
        <v>369</v>
      </c>
      <c r="C170" s="2" t="s">
        <v>14</v>
      </c>
      <c r="D170" s="2" t="s">
        <v>10</v>
      </c>
      <c r="E170" s="2" t="s">
        <v>11</v>
      </c>
      <c r="F170" s="3"/>
      <c r="G170" s="2"/>
    </row>
    <row r="171" spans="1:7" x14ac:dyDescent="0.35">
      <c r="A171" s="2" t="s">
        <v>370</v>
      </c>
      <c r="B171" s="2" t="s">
        <v>371</v>
      </c>
      <c r="C171" s="2" t="s">
        <v>14</v>
      </c>
      <c r="D171" s="2" t="s">
        <v>10</v>
      </c>
      <c r="E171" s="2" t="s">
        <v>11</v>
      </c>
      <c r="F171" s="3"/>
      <c r="G171" s="2"/>
    </row>
    <row r="172" spans="1:7" x14ac:dyDescent="0.35">
      <c r="A172" s="2" t="s">
        <v>372</v>
      </c>
      <c r="B172" s="2" t="s">
        <v>373</v>
      </c>
      <c r="C172" s="2" t="s">
        <v>14</v>
      </c>
      <c r="D172" s="2" t="s">
        <v>10</v>
      </c>
      <c r="E172" s="2" t="s">
        <v>11</v>
      </c>
      <c r="F172" s="3"/>
      <c r="G172" s="2"/>
    </row>
    <row r="173" spans="1:7" x14ac:dyDescent="0.35">
      <c r="A173" s="2" t="s">
        <v>374</v>
      </c>
      <c r="B173" s="2" t="s">
        <v>375</v>
      </c>
      <c r="C173" s="2" t="s">
        <v>14</v>
      </c>
      <c r="D173" s="2" t="s">
        <v>10</v>
      </c>
      <c r="E173" s="2" t="s">
        <v>11</v>
      </c>
      <c r="F173" s="3"/>
      <c r="G173" s="2"/>
    </row>
    <row r="174" spans="1:7" x14ac:dyDescent="0.35">
      <c r="A174" s="2" t="s">
        <v>376</v>
      </c>
      <c r="B174" s="2" t="s">
        <v>377</v>
      </c>
      <c r="C174" s="2" t="s">
        <v>14</v>
      </c>
      <c r="D174" s="2" t="s">
        <v>10</v>
      </c>
      <c r="E174" s="2" t="s">
        <v>11</v>
      </c>
      <c r="F174" s="3"/>
      <c r="G174" s="2"/>
    </row>
    <row r="175" spans="1:7" x14ac:dyDescent="0.35">
      <c r="A175" s="2" t="s">
        <v>378</v>
      </c>
      <c r="B175" s="2" t="s">
        <v>379</v>
      </c>
      <c r="C175" s="2" t="s">
        <v>24</v>
      </c>
      <c r="D175" s="2" t="s">
        <v>10</v>
      </c>
      <c r="E175" s="2" t="s">
        <v>11</v>
      </c>
      <c r="F175" s="3"/>
      <c r="G175" s="2"/>
    </row>
    <row r="176" spans="1:7" x14ac:dyDescent="0.35">
      <c r="A176" s="2" t="s">
        <v>380</v>
      </c>
      <c r="B176" s="2" t="s">
        <v>381</v>
      </c>
      <c r="C176" s="2" t="s">
        <v>14</v>
      </c>
      <c r="D176" s="2" t="s">
        <v>10</v>
      </c>
      <c r="E176" s="2" t="s">
        <v>11</v>
      </c>
      <c r="F176" s="3"/>
      <c r="G176" s="2"/>
    </row>
    <row r="177" spans="1:7" x14ac:dyDescent="0.35">
      <c r="A177" s="2" t="s">
        <v>382</v>
      </c>
      <c r="B177" s="2" t="s">
        <v>383</v>
      </c>
      <c r="C177" s="2" t="s">
        <v>129</v>
      </c>
      <c r="D177" s="2" t="s">
        <v>10</v>
      </c>
      <c r="E177" s="2" t="s">
        <v>11</v>
      </c>
      <c r="F177" s="3"/>
      <c r="G177" s="2"/>
    </row>
    <row r="178" spans="1:7" x14ac:dyDescent="0.35">
      <c r="A178" s="2" t="s">
        <v>384</v>
      </c>
      <c r="B178" s="2" t="s">
        <v>385</v>
      </c>
      <c r="C178" s="2" t="s">
        <v>24</v>
      </c>
      <c r="D178" s="2" t="s">
        <v>10</v>
      </c>
      <c r="E178" s="2" t="s">
        <v>11</v>
      </c>
      <c r="F178" s="3"/>
      <c r="G178" s="2"/>
    </row>
    <row r="179" spans="1:7" x14ac:dyDescent="0.35">
      <c r="A179" s="2" t="s">
        <v>386</v>
      </c>
      <c r="B179" s="2" t="s">
        <v>387</v>
      </c>
      <c r="C179" s="2" t="s">
        <v>24</v>
      </c>
      <c r="D179" s="2" t="s">
        <v>10</v>
      </c>
      <c r="E179" s="2" t="s">
        <v>11</v>
      </c>
      <c r="F179" s="3"/>
      <c r="G179" s="2"/>
    </row>
    <row r="180" spans="1:7" x14ac:dyDescent="0.35">
      <c r="A180" s="2" t="s">
        <v>388</v>
      </c>
      <c r="B180" s="2" t="s">
        <v>389</v>
      </c>
      <c r="C180" s="2" t="s">
        <v>14</v>
      </c>
      <c r="D180" s="2" t="s">
        <v>10</v>
      </c>
      <c r="E180" s="2" t="s">
        <v>11</v>
      </c>
      <c r="F180" s="3"/>
      <c r="G180" s="2"/>
    </row>
    <row r="181" spans="1:7" x14ac:dyDescent="0.35">
      <c r="A181" s="2" t="s">
        <v>390</v>
      </c>
      <c r="B181" s="2" t="s">
        <v>391</v>
      </c>
      <c r="C181" s="2" t="s">
        <v>14</v>
      </c>
      <c r="D181" s="2" t="s">
        <v>10</v>
      </c>
      <c r="E181" s="2" t="s">
        <v>11</v>
      </c>
      <c r="F181" s="3"/>
      <c r="G181" s="2"/>
    </row>
    <row r="182" spans="1:7" x14ac:dyDescent="0.35">
      <c r="A182" s="2" t="s">
        <v>392</v>
      </c>
      <c r="B182" s="2" t="s">
        <v>393</v>
      </c>
      <c r="C182" s="2" t="s">
        <v>24</v>
      </c>
      <c r="D182" s="2" t="s">
        <v>10</v>
      </c>
      <c r="E182" s="2" t="s">
        <v>11</v>
      </c>
      <c r="F182" s="3"/>
      <c r="G182" s="2"/>
    </row>
    <row r="183" spans="1:7" x14ac:dyDescent="0.35">
      <c r="A183" s="2" t="s">
        <v>394</v>
      </c>
      <c r="B183" s="2" t="s">
        <v>395</v>
      </c>
      <c r="C183" s="2" t="s">
        <v>185</v>
      </c>
      <c r="D183" s="2" t="s">
        <v>10</v>
      </c>
      <c r="E183" s="2" t="s">
        <v>11</v>
      </c>
      <c r="F183" s="3"/>
      <c r="G183" s="2"/>
    </row>
    <row r="184" spans="1:7" x14ac:dyDescent="0.35">
      <c r="A184" s="2" t="s">
        <v>396</v>
      </c>
      <c r="B184" s="2" t="s">
        <v>397</v>
      </c>
      <c r="C184" s="2" t="s">
        <v>14</v>
      </c>
      <c r="D184" s="2" t="s">
        <v>10</v>
      </c>
      <c r="E184" s="2" t="s">
        <v>11</v>
      </c>
      <c r="F184" s="3"/>
      <c r="G184" s="2"/>
    </row>
    <row r="185" spans="1:7" x14ac:dyDescent="0.35">
      <c r="A185" s="2" t="s">
        <v>398</v>
      </c>
      <c r="B185" s="2" t="s">
        <v>399</v>
      </c>
      <c r="C185" s="2" t="s">
        <v>14</v>
      </c>
      <c r="D185" s="2" t="s">
        <v>10</v>
      </c>
      <c r="E185" s="2" t="s">
        <v>11</v>
      </c>
      <c r="F185" s="3"/>
      <c r="G185" s="2"/>
    </row>
    <row r="186" spans="1:7" x14ac:dyDescent="0.35">
      <c r="A186" s="2" t="s">
        <v>400</v>
      </c>
      <c r="B186" s="2" t="s">
        <v>401</v>
      </c>
      <c r="C186" s="2" t="s">
        <v>14</v>
      </c>
      <c r="D186" s="2" t="s">
        <v>10</v>
      </c>
      <c r="E186" s="2" t="s">
        <v>11</v>
      </c>
      <c r="F186" s="3"/>
      <c r="G186" s="2"/>
    </row>
    <row r="187" spans="1:7" x14ac:dyDescent="0.35">
      <c r="A187" s="2" t="s">
        <v>402</v>
      </c>
      <c r="B187" s="2" t="s">
        <v>403</v>
      </c>
      <c r="C187" s="2" t="s">
        <v>246</v>
      </c>
      <c r="D187" s="2" t="s">
        <v>10</v>
      </c>
      <c r="E187" s="2" t="s">
        <v>11</v>
      </c>
      <c r="F187" s="3"/>
      <c r="G187" s="2"/>
    </row>
    <row r="188" spans="1:7" x14ac:dyDescent="0.35">
      <c r="A188" s="2" t="s">
        <v>404</v>
      </c>
      <c r="B188" s="2" t="s">
        <v>405</v>
      </c>
      <c r="C188" s="2" t="s">
        <v>14</v>
      </c>
      <c r="D188" s="2" t="s">
        <v>10</v>
      </c>
      <c r="E188" s="2" t="s">
        <v>11</v>
      </c>
      <c r="F188" s="3"/>
      <c r="G188" s="2"/>
    </row>
    <row r="189" spans="1:7" x14ac:dyDescent="0.35">
      <c r="A189" s="2" t="s">
        <v>406</v>
      </c>
      <c r="B189" s="2" t="s">
        <v>407</v>
      </c>
      <c r="C189" s="2" t="s">
        <v>24</v>
      </c>
      <c r="D189" s="2" t="s">
        <v>10</v>
      </c>
      <c r="E189" s="2" t="s">
        <v>11</v>
      </c>
      <c r="F189" s="3"/>
      <c r="G189" s="2"/>
    </row>
    <row r="190" spans="1:7" x14ac:dyDescent="0.35">
      <c r="A190" s="2" t="s">
        <v>408</v>
      </c>
      <c r="B190" s="2" t="s">
        <v>409</v>
      </c>
      <c r="C190" s="2" t="s">
        <v>39</v>
      </c>
      <c r="D190" s="2" t="s">
        <v>10</v>
      </c>
      <c r="E190" s="2" t="s">
        <v>11</v>
      </c>
      <c r="F190" s="3"/>
      <c r="G190" s="2"/>
    </row>
    <row r="191" spans="1:7" x14ac:dyDescent="0.35">
      <c r="A191" s="2" t="s">
        <v>410</v>
      </c>
      <c r="B191" s="2" t="s">
        <v>411</v>
      </c>
      <c r="C191" s="2" t="s">
        <v>14</v>
      </c>
      <c r="D191" s="2" t="s">
        <v>10</v>
      </c>
      <c r="E191" s="2" t="s">
        <v>11</v>
      </c>
      <c r="F191" s="3"/>
      <c r="G191" s="2"/>
    </row>
    <row r="192" spans="1:7" x14ac:dyDescent="0.35">
      <c r="A192" s="2" t="s">
        <v>412</v>
      </c>
      <c r="B192" s="2" t="s">
        <v>413</v>
      </c>
      <c r="C192" s="2" t="s">
        <v>176</v>
      </c>
      <c r="D192" s="2" t="s">
        <v>10</v>
      </c>
      <c r="E192" s="2" t="s">
        <v>11</v>
      </c>
      <c r="F192" s="3"/>
      <c r="G192" s="2"/>
    </row>
    <row r="193" spans="1:7" x14ac:dyDescent="0.35">
      <c r="A193" s="2" t="s">
        <v>414</v>
      </c>
      <c r="B193" s="2" t="s">
        <v>415</v>
      </c>
      <c r="C193" s="2" t="s">
        <v>39</v>
      </c>
      <c r="D193" s="2" t="s">
        <v>10</v>
      </c>
      <c r="E193" s="2" t="s">
        <v>11</v>
      </c>
      <c r="F193" s="3"/>
      <c r="G193" s="2"/>
    </row>
    <row r="194" spans="1:7" x14ac:dyDescent="0.35">
      <c r="A194" s="2" t="s">
        <v>416</v>
      </c>
      <c r="B194" s="2" t="s">
        <v>417</v>
      </c>
      <c r="C194" s="2" t="s">
        <v>211</v>
      </c>
      <c r="D194" s="2" t="s">
        <v>10</v>
      </c>
      <c r="E194" s="2" t="s">
        <v>11</v>
      </c>
      <c r="F194" s="3"/>
      <c r="G194" s="2"/>
    </row>
    <row r="195" spans="1:7" x14ac:dyDescent="0.35">
      <c r="A195" s="2" t="s">
        <v>418</v>
      </c>
      <c r="B195" s="2" t="s">
        <v>419</v>
      </c>
      <c r="C195" s="2" t="s">
        <v>39</v>
      </c>
      <c r="D195" s="2" t="s">
        <v>10</v>
      </c>
      <c r="E195" s="2" t="s">
        <v>11</v>
      </c>
      <c r="F195" s="3"/>
      <c r="G195" s="2"/>
    </row>
    <row r="196" spans="1:7" x14ac:dyDescent="0.35">
      <c r="A196" s="2" t="s">
        <v>420</v>
      </c>
      <c r="B196" s="2" t="s">
        <v>421</v>
      </c>
      <c r="C196" s="2" t="s">
        <v>108</v>
      </c>
      <c r="D196" s="2" t="s">
        <v>10</v>
      </c>
      <c r="E196" s="2" t="s">
        <v>11</v>
      </c>
      <c r="F196" s="3"/>
      <c r="G196" s="2"/>
    </row>
    <row r="197" spans="1:7" x14ac:dyDescent="0.35">
      <c r="A197" s="2" t="s">
        <v>422</v>
      </c>
      <c r="B197" s="2" t="s">
        <v>423</v>
      </c>
      <c r="C197" s="2" t="s">
        <v>24</v>
      </c>
      <c r="D197" s="2" t="s">
        <v>10</v>
      </c>
      <c r="E197" s="2" t="s">
        <v>11</v>
      </c>
      <c r="F197" s="3"/>
      <c r="G197" s="2"/>
    </row>
    <row r="198" spans="1:7" x14ac:dyDescent="0.35">
      <c r="A198" s="2" t="s">
        <v>424</v>
      </c>
      <c r="B198" s="2" t="s">
        <v>425</v>
      </c>
      <c r="C198" s="2" t="s">
        <v>14</v>
      </c>
      <c r="D198" s="2" t="s">
        <v>10</v>
      </c>
      <c r="E198" s="2" t="s">
        <v>11</v>
      </c>
      <c r="F198" s="3"/>
      <c r="G198" s="2"/>
    </row>
    <row r="199" spans="1:7" x14ac:dyDescent="0.35">
      <c r="A199" s="2" t="s">
        <v>426</v>
      </c>
      <c r="B199" s="2" t="s">
        <v>427</v>
      </c>
      <c r="C199" s="2" t="s">
        <v>24</v>
      </c>
      <c r="D199" s="2" t="s">
        <v>10</v>
      </c>
      <c r="E199" s="2" t="s">
        <v>11</v>
      </c>
      <c r="F199" s="3"/>
      <c r="G199" s="2"/>
    </row>
    <row r="200" spans="1:7" x14ac:dyDescent="0.35">
      <c r="A200" s="2" t="s">
        <v>428</v>
      </c>
      <c r="B200" s="2" t="s">
        <v>429</v>
      </c>
      <c r="C200" s="2" t="s">
        <v>24</v>
      </c>
      <c r="D200" s="2" t="s">
        <v>10</v>
      </c>
      <c r="E200" s="2" t="s">
        <v>11</v>
      </c>
      <c r="F200" s="3"/>
      <c r="G200" s="2"/>
    </row>
    <row r="201" spans="1:7" x14ac:dyDescent="0.35">
      <c r="A201" s="2" t="s">
        <v>430</v>
      </c>
      <c r="B201" s="2" t="s">
        <v>431</v>
      </c>
      <c r="C201" s="2" t="s">
        <v>14</v>
      </c>
      <c r="D201" s="2" t="s">
        <v>10</v>
      </c>
      <c r="E201" s="2" t="s">
        <v>11</v>
      </c>
      <c r="F201" s="3"/>
      <c r="G201" s="2"/>
    </row>
    <row r="202" spans="1:7" x14ac:dyDescent="0.35">
      <c r="A202" s="2" t="s">
        <v>432</v>
      </c>
      <c r="B202" s="2" t="s">
        <v>433</v>
      </c>
      <c r="C202" s="2" t="s">
        <v>14</v>
      </c>
      <c r="D202" s="2" t="s">
        <v>10</v>
      </c>
      <c r="E202" s="2" t="s">
        <v>11</v>
      </c>
      <c r="F202" s="3"/>
      <c r="G202" s="2"/>
    </row>
    <row r="203" spans="1:7" x14ac:dyDescent="0.35">
      <c r="A203" s="2" t="s">
        <v>434</v>
      </c>
      <c r="B203" s="2" t="s">
        <v>435</v>
      </c>
      <c r="C203" s="2" t="s">
        <v>24</v>
      </c>
      <c r="D203" s="2" t="s">
        <v>10</v>
      </c>
      <c r="E203" s="2" t="s">
        <v>11</v>
      </c>
      <c r="F203" s="3"/>
      <c r="G203" s="2"/>
    </row>
    <row r="204" spans="1:7" x14ac:dyDescent="0.35">
      <c r="A204" s="2" t="s">
        <v>436</v>
      </c>
      <c r="B204" s="2" t="s">
        <v>437</v>
      </c>
      <c r="C204" s="2" t="s">
        <v>14</v>
      </c>
      <c r="D204" s="2" t="s">
        <v>10</v>
      </c>
      <c r="E204" s="2" t="s">
        <v>11</v>
      </c>
      <c r="F204" s="3"/>
      <c r="G204" s="2"/>
    </row>
    <row r="205" spans="1:7" x14ac:dyDescent="0.35">
      <c r="A205" s="2" t="s">
        <v>438</v>
      </c>
      <c r="B205" s="2" t="s">
        <v>439</v>
      </c>
      <c r="C205" s="2" t="s">
        <v>24</v>
      </c>
      <c r="D205" s="2" t="s">
        <v>10</v>
      </c>
      <c r="E205" s="2" t="s">
        <v>11</v>
      </c>
      <c r="F205" s="3"/>
      <c r="G205" s="2"/>
    </row>
    <row r="206" spans="1:7" x14ac:dyDescent="0.35">
      <c r="A206" s="2" t="s">
        <v>440</v>
      </c>
      <c r="B206" s="2" t="s">
        <v>441</v>
      </c>
      <c r="C206" s="2" t="s">
        <v>295</v>
      </c>
      <c r="D206" s="2" t="s">
        <v>10</v>
      </c>
      <c r="E206" s="2" t="s">
        <v>11</v>
      </c>
      <c r="F206" s="3"/>
      <c r="G206" s="2"/>
    </row>
    <row r="207" spans="1:7" x14ac:dyDescent="0.35">
      <c r="A207" s="2" t="s">
        <v>442</v>
      </c>
      <c r="B207" s="2" t="s">
        <v>443</v>
      </c>
      <c r="C207" s="2" t="s">
        <v>14</v>
      </c>
      <c r="D207" s="2" t="s">
        <v>10</v>
      </c>
      <c r="E207" s="2" t="s">
        <v>11</v>
      </c>
      <c r="F207" s="3"/>
      <c r="G207" s="2"/>
    </row>
    <row r="208" spans="1:7" x14ac:dyDescent="0.35">
      <c r="A208" s="2" t="s">
        <v>444</v>
      </c>
      <c r="B208" s="2" t="s">
        <v>445</v>
      </c>
      <c r="C208" s="2" t="s">
        <v>14</v>
      </c>
      <c r="D208" s="2" t="s">
        <v>10</v>
      </c>
      <c r="E208" s="2" t="s">
        <v>11</v>
      </c>
      <c r="F208" s="3"/>
      <c r="G208" s="2"/>
    </row>
    <row r="209" spans="1:7" x14ac:dyDescent="0.35">
      <c r="A209" s="2" t="s">
        <v>446</v>
      </c>
      <c r="B209" s="2" t="s">
        <v>447</v>
      </c>
      <c r="C209" s="2" t="s">
        <v>14</v>
      </c>
      <c r="D209" s="2" t="s">
        <v>10</v>
      </c>
      <c r="E209" s="2" t="s">
        <v>11</v>
      </c>
      <c r="F209" s="3"/>
      <c r="G209" s="2"/>
    </row>
    <row r="210" spans="1:7" x14ac:dyDescent="0.35">
      <c r="A210" s="2" t="s">
        <v>448</v>
      </c>
      <c r="B210" s="2" t="s">
        <v>449</v>
      </c>
      <c r="C210" s="2" t="s">
        <v>24</v>
      </c>
      <c r="D210" s="2" t="s">
        <v>10</v>
      </c>
      <c r="E210" s="2" t="s">
        <v>11</v>
      </c>
      <c r="F210" s="3"/>
      <c r="G210" s="2"/>
    </row>
    <row r="211" spans="1:7" x14ac:dyDescent="0.35">
      <c r="A211" s="2" t="s">
        <v>450</v>
      </c>
      <c r="B211" s="2" t="s">
        <v>451</v>
      </c>
      <c r="C211" s="2" t="s">
        <v>45</v>
      </c>
      <c r="D211" s="2" t="s">
        <v>10</v>
      </c>
      <c r="E211" s="2" t="s">
        <v>11</v>
      </c>
      <c r="F211" s="3"/>
      <c r="G211" s="2"/>
    </row>
    <row r="212" spans="1:7" x14ac:dyDescent="0.35">
      <c r="A212" s="2" t="s">
        <v>452</v>
      </c>
      <c r="B212" s="2" t="s">
        <v>453</v>
      </c>
      <c r="C212" s="2" t="s">
        <v>14</v>
      </c>
      <c r="D212" s="2" t="s">
        <v>10</v>
      </c>
      <c r="E212" s="2" t="s">
        <v>11</v>
      </c>
      <c r="F212" s="3"/>
      <c r="G212" s="2"/>
    </row>
    <row r="213" spans="1:7" x14ac:dyDescent="0.35">
      <c r="A213" s="2" t="s">
        <v>454</v>
      </c>
      <c r="B213" s="2" t="s">
        <v>455</v>
      </c>
      <c r="C213" s="2" t="s">
        <v>34</v>
      </c>
      <c r="D213" s="2" t="s">
        <v>10</v>
      </c>
      <c r="E213" s="2" t="s">
        <v>11</v>
      </c>
      <c r="F213" s="3"/>
      <c r="G213" s="2"/>
    </row>
    <row r="214" spans="1:7" x14ac:dyDescent="0.35">
      <c r="A214" s="2" t="s">
        <v>456</v>
      </c>
      <c r="B214" s="2" t="s">
        <v>457</v>
      </c>
      <c r="C214" s="2" t="s">
        <v>14</v>
      </c>
      <c r="D214" s="2" t="s">
        <v>10</v>
      </c>
      <c r="E214" s="2" t="s">
        <v>11</v>
      </c>
      <c r="F214" s="3"/>
      <c r="G214" s="2"/>
    </row>
    <row r="215" spans="1:7" x14ac:dyDescent="0.35">
      <c r="A215" s="2" t="s">
        <v>458</v>
      </c>
      <c r="B215" s="2" t="s">
        <v>459</v>
      </c>
      <c r="C215" s="2" t="s">
        <v>169</v>
      </c>
      <c r="D215" s="2" t="s">
        <v>10</v>
      </c>
      <c r="E215" s="2" t="s">
        <v>11</v>
      </c>
      <c r="F215" s="3"/>
      <c r="G215" s="2"/>
    </row>
    <row r="216" spans="1:7" x14ac:dyDescent="0.35">
      <c r="A216" s="2" t="s">
        <v>460</v>
      </c>
      <c r="B216" s="2" t="s">
        <v>461</v>
      </c>
      <c r="C216" s="2" t="s">
        <v>24</v>
      </c>
      <c r="D216" s="2" t="s">
        <v>10</v>
      </c>
      <c r="E216" s="2" t="s">
        <v>11</v>
      </c>
      <c r="F216" s="3"/>
      <c r="G216" s="2"/>
    </row>
    <row r="217" spans="1:7" x14ac:dyDescent="0.35">
      <c r="A217" s="2" t="s">
        <v>462</v>
      </c>
      <c r="B217" s="2" t="s">
        <v>463</v>
      </c>
      <c r="C217" s="2" t="s">
        <v>149</v>
      </c>
      <c r="D217" s="2" t="s">
        <v>10</v>
      </c>
      <c r="E217" s="2" t="s">
        <v>11</v>
      </c>
      <c r="F217" s="3"/>
      <c r="G217" s="2"/>
    </row>
    <row r="218" spans="1:7" x14ac:dyDescent="0.35">
      <c r="A218" s="2" t="s">
        <v>464</v>
      </c>
      <c r="B218" s="2" t="s">
        <v>465</v>
      </c>
      <c r="C218" s="2" t="s">
        <v>14</v>
      </c>
      <c r="D218" s="2" t="s">
        <v>10</v>
      </c>
      <c r="E218" s="2" t="s">
        <v>11</v>
      </c>
      <c r="F218" s="3"/>
      <c r="G218" s="2"/>
    </row>
    <row r="219" spans="1:7" x14ac:dyDescent="0.35">
      <c r="A219" s="2" t="s">
        <v>466</v>
      </c>
      <c r="B219" s="2" t="s">
        <v>467</v>
      </c>
      <c r="C219" s="2" t="s">
        <v>24</v>
      </c>
      <c r="D219" s="2" t="s">
        <v>10</v>
      </c>
      <c r="E219" s="2" t="s">
        <v>11</v>
      </c>
      <c r="F219" s="3"/>
      <c r="G219" s="2"/>
    </row>
    <row r="220" spans="1:7" x14ac:dyDescent="0.35">
      <c r="A220" s="2" t="s">
        <v>468</v>
      </c>
      <c r="B220" s="2" t="s">
        <v>469</v>
      </c>
      <c r="C220" s="2" t="s">
        <v>14</v>
      </c>
      <c r="D220" s="2" t="s">
        <v>10</v>
      </c>
      <c r="E220" s="2" t="s">
        <v>11</v>
      </c>
      <c r="F220" s="3"/>
      <c r="G220" s="2"/>
    </row>
    <row r="221" spans="1:7" x14ac:dyDescent="0.35">
      <c r="A221" s="2" t="s">
        <v>470</v>
      </c>
      <c r="B221" s="2" t="s">
        <v>471</v>
      </c>
      <c r="C221" s="2" t="s">
        <v>24</v>
      </c>
      <c r="D221" s="2" t="s">
        <v>10</v>
      </c>
      <c r="E221" s="2" t="s">
        <v>11</v>
      </c>
      <c r="F221" s="3"/>
      <c r="G221" s="2"/>
    </row>
    <row r="222" spans="1:7" x14ac:dyDescent="0.35">
      <c r="A222" s="2" t="s">
        <v>472</v>
      </c>
      <c r="B222" s="2" t="s">
        <v>473</v>
      </c>
      <c r="C222" s="2" t="s">
        <v>14</v>
      </c>
      <c r="D222" s="2" t="s">
        <v>10</v>
      </c>
      <c r="E222" s="2" t="s">
        <v>11</v>
      </c>
      <c r="F222" s="3"/>
      <c r="G222" s="2"/>
    </row>
    <row r="223" spans="1:7" x14ac:dyDescent="0.35">
      <c r="A223" s="2" t="s">
        <v>474</v>
      </c>
      <c r="B223" s="2" t="s">
        <v>475</v>
      </c>
      <c r="C223" s="2" t="s">
        <v>24</v>
      </c>
      <c r="D223" s="2" t="s">
        <v>10</v>
      </c>
      <c r="E223" s="2" t="s">
        <v>11</v>
      </c>
      <c r="F223" s="3"/>
      <c r="G223" s="2"/>
    </row>
    <row r="224" spans="1:7" x14ac:dyDescent="0.35">
      <c r="A224" s="2" t="s">
        <v>476</v>
      </c>
      <c r="B224" s="2" t="s">
        <v>475</v>
      </c>
      <c r="C224" s="2" t="s">
        <v>24</v>
      </c>
      <c r="D224" s="2" t="s">
        <v>10</v>
      </c>
      <c r="E224" s="2" t="s">
        <v>11</v>
      </c>
      <c r="F224" s="3"/>
      <c r="G224" s="2"/>
    </row>
    <row r="225" spans="1:7" x14ac:dyDescent="0.35">
      <c r="A225" s="2" t="s">
        <v>477</v>
      </c>
      <c r="B225" s="2" t="s">
        <v>478</v>
      </c>
      <c r="C225" s="2" t="s">
        <v>14</v>
      </c>
      <c r="D225" s="2" t="s">
        <v>10</v>
      </c>
      <c r="E225" s="2" t="s">
        <v>11</v>
      </c>
      <c r="F225" s="3"/>
      <c r="G225" s="2"/>
    </row>
    <row r="226" spans="1:7" x14ac:dyDescent="0.35">
      <c r="A226" s="2" t="s">
        <v>479</v>
      </c>
      <c r="B226" s="2" t="s">
        <v>480</v>
      </c>
      <c r="C226" s="2" t="s">
        <v>24</v>
      </c>
      <c r="D226" s="2" t="s">
        <v>10</v>
      </c>
      <c r="E226" s="2" t="s">
        <v>11</v>
      </c>
      <c r="F226" s="3"/>
      <c r="G226" s="2"/>
    </row>
    <row r="227" spans="1:7" x14ac:dyDescent="0.35">
      <c r="A227" s="2" t="s">
        <v>481</v>
      </c>
      <c r="B227" s="2" t="s">
        <v>482</v>
      </c>
      <c r="C227" s="2" t="s">
        <v>24</v>
      </c>
      <c r="D227" s="2" t="s">
        <v>10</v>
      </c>
      <c r="E227" s="2" t="s">
        <v>11</v>
      </c>
      <c r="F227" s="3"/>
      <c r="G227" s="2"/>
    </row>
    <row r="228" spans="1:7" x14ac:dyDescent="0.35">
      <c r="A228" s="2" t="s">
        <v>483</v>
      </c>
      <c r="B228" s="2" t="s">
        <v>484</v>
      </c>
      <c r="C228" s="2" t="s">
        <v>14</v>
      </c>
      <c r="D228" s="2" t="s">
        <v>10</v>
      </c>
      <c r="E228" s="2" t="s">
        <v>11</v>
      </c>
      <c r="F228" s="3"/>
      <c r="G228" s="2"/>
    </row>
    <row r="229" spans="1:7" x14ac:dyDescent="0.35">
      <c r="A229" s="2" t="s">
        <v>485</v>
      </c>
      <c r="B229" s="2" t="s">
        <v>486</v>
      </c>
      <c r="C229" s="2" t="s">
        <v>487</v>
      </c>
      <c r="D229" s="2" t="s">
        <v>10</v>
      </c>
      <c r="E229" s="2" t="s">
        <v>11</v>
      </c>
      <c r="F229" s="3"/>
      <c r="G229" s="2"/>
    </row>
    <row r="230" spans="1:7" x14ac:dyDescent="0.35">
      <c r="A230" s="2" t="s">
        <v>488</v>
      </c>
      <c r="B230" s="2" t="s">
        <v>489</v>
      </c>
      <c r="C230" s="2" t="s">
        <v>14</v>
      </c>
      <c r="D230" s="2" t="s">
        <v>10</v>
      </c>
      <c r="E230" s="2" t="s">
        <v>11</v>
      </c>
      <c r="F230" s="3"/>
      <c r="G230" s="2"/>
    </row>
    <row r="231" spans="1:7" x14ac:dyDescent="0.35">
      <c r="A231" s="2" t="s">
        <v>490</v>
      </c>
      <c r="B231" s="2" t="s">
        <v>491</v>
      </c>
      <c r="C231" s="2" t="s">
        <v>24</v>
      </c>
      <c r="D231" s="2" t="s">
        <v>10</v>
      </c>
      <c r="E231" s="2" t="s">
        <v>11</v>
      </c>
      <c r="F231" s="3"/>
      <c r="G231" s="2"/>
    </row>
    <row r="232" spans="1:7" x14ac:dyDescent="0.35">
      <c r="A232" s="2" t="s">
        <v>492</v>
      </c>
      <c r="B232" s="2" t="s">
        <v>493</v>
      </c>
      <c r="C232" s="2" t="s">
        <v>39</v>
      </c>
      <c r="D232" s="2" t="s">
        <v>10</v>
      </c>
      <c r="E232" s="2" t="s">
        <v>11</v>
      </c>
      <c r="F232" s="3"/>
      <c r="G232" s="2"/>
    </row>
    <row r="233" spans="1:7" x14ac:dyDescent="0.35">
      <c r="A233" s="2" t="s">
        <v>494</v>
      </c>
      <c r="B233" s="2" t="s">
        <v>495</v>
      </c>
      <c r="C233" s="2" t="s">
        <v>14</v>
      </c>
      <c r="D233" s="2" t="s">
        <v>10</v>
      </c>
      <c r="E233" s="2" t="s">
        <v>11</v>
      </c>
      <c r="F233" s="3"/>
      <c r="G233" s="2"/>
    </row>
    <row r="234" spans="1:7" x14ac:dyDescent="0.35">
      <c r="A234" s="2" t="s">
        <v>496</v>
      </c>
      <c r="B234" s="2" t="s">
        <v>497</v>
      </c>
      <c r="C234" s="2" t="s">
        <v>295</v>
      </c>
      <c r="D234" s="2" t="s">
        <v>10</v>
      </c>
      <c r="E234" s="2" t="s">
        <v>11</v>
      </c>
      <c r="F234" s="3"/>
      <c r="G234" s="2"/>
    </row>
    <row r="235" spans="1:7" x14ac:dyDescent="0.35">
      <c r="A235" s="2" t="s">
        <v>498</v>
      </c>
      <c r="B235" s="2" t="s">
        <v>499</v>
      </c>
      <c r="C235" s="2" t="s">
        <v>325</v>
      </c>
      <c r="D235" s="2" t="s">
        <v>10</v>
      </c>
      <c r="E235" s="2" t="s">
        <v>11</v>
      </c>
      <c r="F235" s="3"/>
      <c r="G235" s="2"/>
    </row>
    <row r="236" spans="1:7" x14ac:dyDescent="0.35">
      <c r="A236" s="2" t="s">
        <v>500</v>
      </c>
      <c r="B236" s="2" t="s">
        <v>501</v>
      </c>
      <c r="C236" s="2" t="s">
        <v>14</v>
      </c>
      <c r="D236" s="2" t="s">
        <v>10</v>
      </c>
      <c r="E236" s="2" t="s">
        <v>11</v>
      </c>
      <c r="F236" s="3"/>
      <c r="G236" s="2"/>
    </row>
    <row r="237" spans="1:7" x14ac:dyDescent="0.35">
      <c r="A237" s="2" t="s">
        <v>502</v>
      </c>
      <c r="B237" s="2" t="s">
        <v>503</v>
      </c>
      <c r="C237" s="2" t="s">
        <v>14</v>
      </c>
      <c r="D237" s="2" t="s">
        <v>10</v>
      </c>
      <c r="E237" s="2" t="s">
        <v>11</v>
      </c>
      <c r="F237" s="3"/>
      <c r="G237" s="2"/>
    </row>
    <row r="238" spans="1:7" x14ac:dyDescent="0.35">
      <c r="A238" s="2" t="s">
        <v>504</v>
      </c>
      <c r="B238" s="2" t="s">
        <v>505</v>
      </c>
      <c r="C238" s="2" t="s">
        <v>14</v>
      </c>
      <c r="D238" s="2" t="s">
        <v>10</v>
      </c>
      <c r="E238" s="2" t="s">
        <v>11</v>
      </c>
      <c r="F238" s="3"/>
      <c r="G238" s="2"/>
    </row>
    <row r="239" spans="1:7" x14ac:dyDescent="0.35">
      <c r="A239" s="2" t="s">
        <v>506</v>
      </c>
      <c r="B239" s="2" t="s">
        <v>507</v>
      </c>
      <c r="C239" s="2" t="s">
        <v>508</v>
      </c>
      <c r="D239" s="2" t="s">
        <v>10</v>
      </c>
      <c r="E239" s="2" t="s">
        <v>11</v>
      </c>
      <c r="F239" s="3"/>
      <c r="G239" s="2"/>
    </row>
    <row r="240" spans="1:7" x14ac:dyDescent="0.35">
      <c r="A240" s="2" t="s">
        <v>509</v>
      </c>
      <c r="B240" s="2" t="s">
        <v>510</v>
      </c>
      <c r="C240" s="2" t="s">
        <v>24</v>
      </c>
      <c r="D240" s="2" t="s">
        <v>10</v>
      </c>
      <c r="E240" s="2" t="s">
        <v>11</v>
      </c>
      <c r="F240" s="3"/>
      <c r="G240" s="2"/>
    </row>
    <row r="241" spans="1:7" x14ac:dyDescent="0.35">
      <c r="A241" s="2" t="s">
        <v>511</v>
      </c>
      <c r="B241" s="2" t="s">
        <v>512</v>
      </c>
      <c r="C241" s="2" t="s">
        <v>14</v>
      </c>
      <c r="D241" s="2" t="s">
        <v>10</v>
      </c>
      <c r="E241" s="2" t="s">
        <v>11</v>
      </c>
      <c r="F241" s="3"/>
      <c r="G241" s="2"/>
    </row>
    <row r="242" spans="1:7" x14ac:dyDescent="0.35">
      <c r="A242" s="2" t="s">
        <v>513</v>
      </c>
      <c r="B242" s="2" t="s">
        <v>514</v>
      </c>
      <c r="C242" s="2" t="s">
        <v>264</v>
      </c>
      <c r="D242" s="2" t="s">
        <v>10</v>
      </c>
      <c r="E242" s="2" t="s">
        <v>11</v>
      </c>
      <c r="F242" s="3"/>
      <c r="G242" s="2"/>
    </row>
    <row r="243" spans="1:7" x14ac:dyDescent="0.35">
      <c r="A243" s="2" t="s">
        <v>515</v>
      </c>
      <c r="B243" s="2" t="s">
        <v>516</v>
      </c>
      <c r="C243" s="2" t="s">
        <v>24</v>
      </c>
      <c r="D243" s="2" t="s">
        <v>10</v>
      </c>
      <c r="E243" s="2" t="s">
        <v>11</v>
      </c>
      <c r="F243" s="3"/>
      <c r="G243" s="2"/>
    </row>
    <row r="244" spans="1:7" x14ac:dyDescent="0.35">
      <c r="A244" s="2" t="s">
        <v>517</v>
      </c>
      <c r="B244" s="2" t="s">
        <v>518</v>
      </c>
      <c r="C244" s="2" t="s">
        <v>14</v>
      </c>
      <c r="D244" s="2" t="s">
        <v>10</v>
      </c>
      <c r="E244" s="2" t="s">
        <v>11</v>
      </c>
      <c r="F244" s="3"/>
      <c r="G244" s="2"/>
    </row>
    <row r="245" spans="1:7" x14ac:dyDescent="0.35">
      <c r="A245" s="2" t="s">
        <v>519</v>
      </c>
      <c r="B245" s="2" t="s">
        <v>520</v>
      </c>
      <c r="C245" s="2" t="s">
        <v>14</v>
      </c>
      <c r="D245" s="2" t="s">
        <v>10</v>
      </c>
      <c r="E245" s="2" t="s">
        <v>11</v>
      </c>
      <c r="F245" s="3"/>
      <c r="G245" s="2"/>
    </row>
    <row r="246" spans="1:7" x14ac:dyDescent="0.35">
      <c r="A246" s="2" t="s">
        <v>521</v>
      </c>
      <c r="B246" s="2" t="s">
        <v>522</v>
      </c>
      <c r="C246" s="2" t="s">
        <v>222</v>
      </c>
      <c r="D246" s="2" t="s">
        <v>10</v>
      </c>
      <c r="E246" s="2" t="s">
        <v>11</v>
      </c>
      <c r="F246" s="3"/>
      <c r="G246" s="2"/>
    </row>
    <row r="247" spans="1:7" x14ac:dyDescent="0.35">
      <c r="A247" s="2" t="s">
        <v>523</v>
      </c>
      <c r="B247" s="2" t="s">
        <v>524</v>
      </c>
      <c r="C247" s="2" t="s">
        <v>295</v>
      </c>
      <c r="D247" s="2" t="s">
        <v>10</v>
      </c>
      <c r="E247" s="2" t="s">
        <v>11</v>
      </c>
      <c r="F247" s="3"/>
      <c r="G247" s="2"/>
    </row>
    <row r="248" spans="1:7" x14ac:dyDescent="0.35">
      <c r="A248" s="2" t="s">
        <v>525</v>
      </c>
      <c r="B248" s="2" t="s">
        <v>526</v>
      </c>
      <c r="C248" s="2" t="s">
        <v>24</v>
      </c>
      <c r="D248" s="2" t="s">
        <v>10</v>
      </c>
      <c r="E248" s="2" t="s">
        <v>11</v>
      </c>
      <c r="F248" s="3"/>
      <c r="G248" s="2"/>
    </row>
    <row r="249" spans="1:7" x14ac:dyDescent="0.35">
      <c r="A249" s="2" t="s">
        <v>527</v>
      </c>
      <c r="B249" s="2" t="s">
        <v>528</v>
      </c>
      <c r="C249" s="2" t="s">
        <v>529</v>
      </c>
      <c r="D249" s="2" t="s">
        <v>10</v>
      </c>
      <c r="E249" s="2" t="s">
        <v>11</v>
      </c>
      <c r="F249" s="3"/>
      <c r="G249" s="2"/>
    </row>
    <row r="250" spans="1:7" x14ac:dyDescent="0.35">
      <c r="A250" s="2" t="s">
        <v>530</v>
      </c>
      <c r="B250" s="2" t="s">
        <v>531</v>
      </c>
      <c r="C250" s="2" t="s">
        <v>14</v>
      </c>
      <c r="D250" s="2" t="s">
        <v>10</v>
      </c>
      <c r="E250" s="2" t="s">
        <v>11</v>
      </c>
      <c r="F250" s="3"/>
      <c r="G250" s="2"/>
    </row>
    <row r="251" spans="1:7" x14ac:dyDescent="0.35">
      <c r="A251" s="2" t="s">
        <v>532</v>
      </c>
      <c r="B251" s="2" t="s">
        <v>533</v>
      </c>
      <c r="C251" s="2" t="s">
        <v>24</v>
      </c>
      <c r="D251" s="2" t="s">
        <v>10</v>
      </c>
      <c r="E251" s="2" t="s">
        <v>11</v>
      </c>
      <c r="F251" s="3"/>
      <c r="G251" s="2"/>
    </row>
    <row r="252" spans="1:7" x14ac:dyDescent="0.35">
      <c r="A252" s="2" t="s">
        <v>534</v>
      </c>
      <c r="B252" s="2" t="s">
        <v>535</v>
      </c>
      <c r="C252" s="2" t="s">
        <v>24</v>
      </c>
      <c r="D252" s="2" t="s">
        <v>10</v>
      </c>
      <c r="E252" s="2" t="s">
        <v>11</v>
      </c>
      <c r="F252" s="3"/>
      <c r="G252" s="2"/>
    </row>
    <row r="253" spans="1:7" x14ac:dyDescent="0.35">
      <c r="A253" s="2" t="s">
        <v>536</v>
      </c>
      <c r="B253" s="2" t="s">
        <v>537</v>
      </c>
      <c r="C253" s="2" t="s">
        <v>24</v>
      </c>
      <c r="D253" s="2" t="s">
        <v>10</v>
      </c>
      <c r="E253" s="2" t="s">
        <v>11</v>
      </c>
      <c r="F253" s="3"/>
      <c r="G253" s="2"/>
    </row>
    <row r="254" spans="1:7" x14ac:dyDescent="0.35">
      <c r="A254" s="2" t="s">
        <v>538</v>
      </c>
      <c r="B254" s="2" t="s">
        <v>539</v>
      </c>
      <c r="C254" s="2" t="s">
        <v>9</v>
      </c>
      <c r="D254" s="2" t="s">
        <v>10</v>
      </c>
      <c r="E254" s="2" t="s">
        <v>11</v>
      </c>
      <c r="F254" s="3"/>
      <c r="G254" s="2"/>
    </row>
    <row r="255" spans="1:7" x14ac:dyDescent="0.35">
      <c r="A255" s="2" t="s">
        <v>540</v>
      </c>
      <c r="B255" s="2" t="s">
        <v>541</v>
      </c>
      <c r="C255" s="2" t="s">
        <v>39</v>
      </c>
      <c r="D255" s="2" t="s">
        <v>10</v>
      </c>
      <c r="E255" s="2" t="s">
        <v>11</v>
      </c>
      <c r="F255" s="3"/>
      <c r="G255" s="2"/>
    </row>
    <row r="256" spans="1:7" x14ac:dyDescent="0.35">
      <c r="A256" s="2" t="s">
        <v>542</v>
      </c>
      <c r="B256" s="2" t="s">
        <v>543</v>
      </c>
      <c r="C256" s="2" t="s">
        <v>24</v>
      </c>
      <c r="D256" s="2" t="s">
        <v>10</v>
      </c>
      <c r="E256" s="2" t="s">
        <v>11</v>
      </c>
      <c r="F256" s="3"/>
      <c r="G256" s="2"/>
    </row>
    <row r="257" spans="1:7" x14ac:dyDescent="0.35">
      <c r="A257" s="2" t="s">
        <v>695</v>
      </c>
      <c r="B257" s="2" t="s">
        <v>698</v>
      </c>
      <c r="C257" s="2" t="s">
        <v>24</v>
      </c>
      <c r="D257" s="2" t="s">
        <v>10</v>
      </c>
      <c r="E257" s="2" t="s">
        <v>11</v>
      </c>
      <c r="F257" s="3"/>
      <c r="G257" s="2"/>
    </row>
    <row r="258" spans="1:7" x14ac:dyDescent="0.35">
      <c r="A258" s="2" t="s">
        <v>696</v>
      </c>
      <c r="B258" s="2" t="s">
        <v>697</v>
      </c>
      <c r="C258" s="2" t="s">
        <v>24</v>
      </c>
      <c r="D258" s="2" t="s">
        <v>10</v>
      </c>
      <c r="E258" s="2" t="s">
        <v>11</v>
      </c>
      <c r="F258" s="3"/>
      <c r="G258" s="2"/>
    </row>
    <row r="259" spans="1:7" x14ac:dyDescent="0.35">
      <c r="A259" s="2" t="s">
        <v>544</v>
      </c>
      <c r="B259" s="2" t="s">
        <v>545</v>
      </c>
      <c r="C259" s="2" t="s">
        <v>39</v>
      </c>
      <c r="D259" s="2" t="s">
        <v>10</v>
      </c>
      <c r="E259" s="2" t="s">
        <v>11</v>
      </c>
      <c r="F259" s="3"/>
      <c r="G259" s="2"/>
    </row>
    <row r="260" spans="1:7" x14ac:dyDescent="0.35">
      <c r="A260" s="2" t="s">
        <v>546</v>
      </c>
      <c r="B260" s="2" t="s">
        <v>547</v>
      </c>
      <c r="C260" s="2" t="s">
        <v>14</v>
      </c>
      <c r="D260" s="2" t="s">
        <v>10</v>
      </c>
      <c r="E260" s="2" t="s">
        <v>11</v>
      </c>
      <c r="F260" s="3"/>
      <c r="G260" s="2"/>
    </row>
    <row r="261" spans="1:7" x14ac:dyDescent="0.35">
      <c r="A261" s="2" t="s">
        <v>548</v>
      </c>
      <c r="B261" s="2" t="s">
        <v>549</v>
      </c>
      <c r="C261" s="2" t="s">
        <v>24</v>
      </c>
      <c r="D261" s="2" t="s">
        <v>10</v>
      </c>
      <c r="E261" s="2" t="s">
        <v>11</v>
      </c>
      <c r="F261" s="3"/>
      <c r="G261" s="2"/>
    </row>
    <row r="262" spans="1:7" x14ac:dyDescent="0.35">
      <c r="A262" s="2" t="s">
        <v>550</v>
      </c>
      <c r="B262" s="2" t="s">
        <v>551</v>
      </c>
      <c r="C262" s="2" t="s">
        <v>508</v>
      </c>
      <c r="D262" s="2" t="s">
        <v>10</v>
      </c>
      <c r="E262" s="2" t="s">
        <v>11</v>
      </c>
      <c r="F262" s="3"/>
      <c r="G262" s="2"/>
    </row>
    <row r="263" spans="1:7" x14ac:dyDescent="0.35">
      <c r="A263" s="2" t="s">
        <v>552</v>
      </c>
      <c r="B263" s="2" t="s">
        <v>553</v>
      </c>
      <c r="C263" s="2" t="s">
        <v>24</v>
      </c>
      <c r="D263" s="2" t="s">
        <v>10</v>
      </c>
      <c r="E263" s="2" t="s">
        <v>11</v>
      </c>
      <c r="F263" s="3"/>
      <c r="G263" s="2"/>
    </row>
    <row r="264" spans="1:7" x14ac:dyDescent="0.35">
      <c r="A264" s="2" t="s">
        <v>554</v>
      </c>
      <c r="B264" s="2" t="s">
        <v>555</v>
      </c>
      <c r="C264" s="2" t="s">
        <v>14</v>
      </c>
      <c r="D264" s="2" t="s">
        <v>10</v>
      </c>
      <c r="E264" s="2" t="s">
        <v>11</v>
      </c>
      <c r="F264" s="3"/>
      <c r="G264" s="2"/>
    </row>
    <row r="265" spans="1:7" x14ac:dyDescent="0.35">
      <c r="A265" s="2" t="s">
        <v>556</v>
      </c>
      <c r="B265" s="2" t="s">
        <v>557</v>
      </c>
      <c r="C265" s="2" t="s">
        <v>14</v>
      </c>
      <c r="D265" s="2" t="s">
        <v>10</v>
      </c>
      <c r="E265" s="2" t="s">
        <v>11</v>
      </c>
      <c r="F265" s="3"/>
      <c r="G265" s="2"/>
    </row>
    <row r="266" spans="1:7" x14ac:dyDescent="0.35">
      <c r="A266" s="2" t="s">
        <v>558</v>
      </c>
      <c r="B266" s="2" t="s">
        <v>559</v>
      </c>
      <c r="C266" s="2" t="s">
        <v>39</v>
      </c>
      <c r="D266" s="2" t="s">
        <v>10</v>
      </c>
      <c r="E266" s="2" t="s">
        <v>11</v>
      </c>
      <c r="F266" s="3"/>
      <c r="G266" s="2"/>
    </row>
    <row r="267" spans="1:7" x14ac:dyDescent="0.35">
      <c r="A267" s="2" t="s">
        <v>560</v>
      </c>
      <c r="B267" s="2" t="s">
        <v>561</v>
      </c>
      <c r="C267" s="2" t="s">
        <v>14</v>
      </c>
      <c r="D267" s="2" t="s">
        <v>10</v>
      </c>
      <c r="E267" s="2" t="s">
        <v>11</v>
      </c>
      <c r="F267" s="3"/>
      <c r="G267" s="2"/>
    </row>
    <row r="268" spans="1:7" x14ac:dyDescent="0.35">
      <c r="A268" s="2" t="s">
        <v>562</v>
      </c>
      <c r="B268" s="2" t="s">
        <v>563</v>
      </c>
      <c r="C268" s="2" t="s">
        <v>39</v>
      </c>
      <c r="D268" s="2" t="s">
        <v>10</v>
      </c>
      <c r="E268" s="2" t="s">
        <v>11</v>
      </c>
      <c r="F268" s="3"/>
      <c r="G268" s="2"/>
    </row>
    <row r="269" spans="1:7" x14ac:dyDescent="0.35">
      <c r="A269" s="2" t="s">
        <v>564</v>
      </c>
      <c r="B269" s="2" t="s">
        <v>565</v>
      </c>
      <c r="C269" s="2" t="s">
        <v>14</v>
      </c>
      <c r="D269" s="2" t="s">
        <v>10</v>
      </c>
      <c r="E269" s="2" t="s">
        <v>11</v>
      </c>
      <c r="F269" s="3"/>
      <c r="G269" s="2"/>
    </row>
    <row r="270" spans="1:7" x14ac:dyDescent="0.35">
      <c r="A270" s="2" t="s">
        <v>566</v>
      </c>
      <c r="B270" s="2" t="s">
        <v>567</v>
      </c>
      <c r="C270" s="2" t="s">
        <v>14</v>
      </c>
      <c r="D270" s="2" t="s">
        <v>10</v>
      </c>
      <c r="E270" s="2" t="s">
        <v>11</v>
      </c>
      <c r="F270" s="3"/>
      <c r="G270" s="2"/>
    </row>
    <row r="271" spans="1:7" x14ac:dyDescent="0.35">
      <c r="A271" s="2" t="s">
        <v>568</v>
      </c>
      <c r="B271" s="2" t="s">
        <v>569</v>
      </c>
      <c r="C271" s="2" t="s">
        <v>14</v>
      </c>
      <c r="D271" s="2" t="s">
        <v>10</v>
      </c>
      <c r="E271" s="2" t="s">
        <v>11</v>
      </c>
      <c r="F271" s="3"/>
      <c r="G271" s="2"/>
    </row>
    <row r="272" spans="1:7" x14ac:dyDescent="0.35">
      <c r="A272" s="2" t="s">
        <v>570</v>
      </c>
      <c r="B272" s="2" t="s">
        <v>571</v>
      </c>
      <c r="C272" s="2" t="s">
        <v>14</v>
      </c>
      <c r="D272" s="2" t="s">
        <v>10</v>
      </c>
      <c r="E272" s="2" t="s">
        <v>11</v>
      </c>
      <c r="F272" s="3"/>
      <c r="G272" s="2"/>
    </row>
    <row r="273" spans="1:7" x14ac:dyDescent="0.35">
      <c r="A273" s="2" t="s">
        <v>572</v>
      </c>
      <c r="B273" s="2" t="s">
        <v>573</v>
      </c>
      <c r="C273" s="2" t="s">
        <v>574</v>
      </c>
      <c r="D273" s="2" t="s">
        <v>10</v>
      </c>
      <c r="E273" s="2" t="s">
        <v>11</v>
      </c>
      <c r="F273" s="3"/>
      <c r="G273" s="2"/>
    </row>
    <row r="274" spans="1:7" x14ac:dyDescent="0.35">
      <c r="A274" s="2" t="s">
        <v>575</v>
      </c>
      <c r="B274" s="2" t="s">
        <v>576</v>
      </c>
      <c r="C274" s="2" t="s">
        <v>14</v>
      </c>
      <c r="D274" s="2" t="s">
        <v>10</v>
      </c>
      <c r="E274" s="2" t="s">
        <v>11</v>
      </c>
      <c r="F274" s="3"/>
      <c r="G274" s="2"/>
    </row>
    <row r="275" spans="1:7" x14ac:dyDescent="0.35">
      <c r="A275" s="2" t="s">
        <v>577</v>
      </c>
      <c r="B275" s="2" t="s">
        <v>578</v>
      </c>
      <c r="C275" s="2" t="s">
        <v>14</v>
      </c>
      <c r="D275" s="2" t="s">
        <v>10</v>
      </c>
      <c r="E275" s="2" t="s">
        <v>11</v>
      </c>
      <c r="F275" s="3"/>
      <c r="G275" s="2"/>
    </row>
    <row r="276" spans="1:7" x14ac:dyDescent="0.35">
      <c r="A276" s="2" t="s">
        <v>579</v>
      </c>
      <c r="B276" s="2" t="s">
        <v>580</v>
      </c>
      <c r="C276" s="2" t="s">
        <v>14</v>
      </c>
      <c r="D276" s="2" t="s">
        <v>10</v>
      </c>
      <c r="E276" s="2" t="s">
        <v>11</v>
      </c>
      <c r="F276" s="3"/>
      <c r="G276" s="2"/>
    </row>
    <row r="277" spans="1:7" x14ac:dyDescent="0.35">
      <c r="A277" s="2" t="s">
        <v>581</v>
      </c>
      <c r="B277" s="2" t="s">
        <v>582</v>
      </c>
      <c r="C277" s="2" t="s">
        <v>9</v>
      </c>
      <c r="D277" s="2" t="s">
        <v>10</v>
      </c>
      <c r="E277" s="2" t="s">
        <v>11</v>
      </c>
      <c r="F277" s="3"/>
      <c r="G277" s="2"/>
    </row>
    <row r="278" spans="1:7" x14ac:dyDescent="0.35">
      <c r="A278" s="2" t="s">
        <v>583</v>
      </c>
      <c r="B278" s="2" t="s">
        <v>584</v>
      </c>
      <c r="C278" s="2" t="s">
        <v>14</v>
      </c>
      <c r="D278" s="2" t="s">
        <v>10</v>
      </c>
      <c r="E278" s="2" t="s">
        <v>11</v>
      </c>
      <c r="F278" s="3"/>
      <c r="G278" s="2"/>
    </row>
    <row r="279" spans="1:7" x14ac:dyDescent="0.35">
      <c r="A279" s="2" t="s">
        <v>585</v>
      </c>
      <c r="B279" s="2" t="s">
        <v>586</v>
      </c>
      <c r="C279" s="2" t="s">
        <v>14</v>
      </c>
      <c r="D279" s="2" t="s">
        <v>10</v>
      </c>
      <c r="E279" s="2" t="s">
        <v>11</v>
      </c>
      <c r="F279" s="3"/>
      <c r="G279" s="2"/>
    </row>
    <row r="280" spans="1:7" x14ac:dyDescent="0.35">
      <c r="A280" s="2" t="s">
        <v>587</v>
      </c>
      <c r="B280" s="2" t="s">
        <v>588</v>
      </c>
      <c r="C280" s="2" t="s">
        <v>19</v>
      </c>
      <c r="D280" s="2" t="s">
        <v>10</v>
      </c>
      <c r="E280" s="2" t="s">
        <v>11</v>
      </c>
      <c r="F280" s="3"/>
      <c r="G280" s="2"/>
    </row>
    <row r="281" spans="1:7" x14ac:dyDescent="0.35">
      <c r="A281" s="2" t="s">
        <v>589</v>
      </c>
      <c r="B281" s="2" t="s">
        <v>590</v>
      </c>
      <c r="C281" s="2" t="s">
        <v>14</v>
      </c>
      <c r="D281" s="2" t="s">
        <v>10</v>
      </c>
      <c r="E281" s="2" t="s">
        <v>11</v>
      </c>
      <c r="F281" s="3"/>
      <c r="G281" s="2"/>
    </row>
    <row r="282" spans="1:7" x14ac:dyDescent="0.35">
      <c r="A282" s="2" t="s">
        <v>591</v>
      </c>
      <c r="B282" s="2" t="s">
        <v>592</v>
      </c>
      <c r="C282" s="2" t="s">
        <v>39</v>
      </c>
      <c r="D282" s="2" t="s">
        <v>10</v>
      </c>
      <c r="E282" s="2" t="s">
        <v>11</v>
      </c>
      <c r="F282" s="3"/>
      <c r="G282" s="2"/>
    </row>
    <row r="283" spans="1:7" x14ac:dyDescent="0.35">
      <c r="A283" s="2" t="s">
        <v>593</v>
      </c>
      <c r="B283" s="2" t="s">
        <v>594</v>
      </c>
      <c r="C283" s="2" t="s">
        <v>529</v>
      </c>
      <c r="D283" s="2" t="s">
        <v>10</v>
      </c>
      <c r="E283" s="2" t="s">
        <v>11</v>
      </c>
      <c r="F283" s="3"/>
      <c r="G283" s="2"/>
    </row>
    <row r="284" spans="1:7" x14ac:dyDescent="0.35">
      <c r="A284" s="2" t="s">
        <v>595</v>
      </c>
      <c r="B284" s="2" t="s">
        <v>596</v>
      </c>
      <c r="C284" s="2" t="s">
        <v>24</v>
      </c>
      <c r="D284" s="2" t="s">
        <v>10</v>
      </c>
      <c r="E284" s="2" t="s">
        <v>11</v>
      </c>
      <c r="F284" s="3"/>
      <c r="G284" s="2"/>
    </row>
    <row r="285" spans="1:7" x14ac:dyDescent="0.35">
      <c r="A285" s="2" t="s">
        <v>597</v>
      </c>
      <c r="B285" s="2" t="s">
        <v>598</v>
      </c>
      <c r="C285" s="2" t="s">
        <v>24</v>
      </c>
      <c r="D285" s="2" t="s">
        <v>10</v>
      </c>
      <c r="E285" s="2" t="s">
        <v>11</v>
      </c>
      <c r="F285" s="3"/>
      <c r="G285" s="2"/>
    </row>
    <row r="286" spans="1:7" x14ac:dyDescent="0.35">
      <c r="A286" s="2" t="s">
        <v>599</v>
      </c>
      <c r="B286" s="2" t="s">
        <v>600</v>
      </c>
      <c r="C286" s="2" t="s">
        <v>14</v>
      </c>
      <c r="D286" s="2" t="s">
        <v>10</v>
      </c>
      <c r="E286" s="2" t="s">
        <v>11</v>
      </c>
      <c r="F286" s="3"/>
      <c r="G286" s="2"/>
    </row>
    <row r="287" spans="1:7" x14ac:dyDescent="0.35">
      <c r="A287" s="2" t="s">
        <v>601</v>
      </c>
      <c r="B287" s="2" t="s">
        <v>602</v>
      </c>
      <c r="C287" s="2" t="s">
        <v>129</v>
      </c>
      <c r="D287" s="2" t="s">
        <v>10</v>
      </c>
      <c r="E287" s="2" t="s">
        <v>11</v>
      </c>
      <c r="F287" s="3"/>
      <c r="G287" s="2"/>
    </row>
    <row r="288" spans="1:7" x14ac:dyDescent="0.35">
      <c r="A288" s="2" t="s">
        <v>603</v>
      </c>
      <c r="B288" s="2" t="s">
        <v>604</v>
      </c>
      <c r="C288" s="2" t="s">
        <v>211</v>
      </c>
      <c r="D288" s="2" t="s">
        <v>10</v>
      </c>
      <c r="E288" s="2" t="s">
        <v>11</v>
      </c>
      <c r="F288" s="3"/>
      <c r="G288" s="2"/>
    </row>
    <row r="289" spans="1:7" x14ac:dyDescent="0.35">
      <c r="A289" s="2" t="s">
        <v>605</v>
      </c>
      <c r="B289" s="2" t="s">
        <v>606</v>
      </c>
      <c r="C289" s="2" t="s">
        <v>24</v>
      </c>
      <c r="D289" s="2" t="s">
        <v>10</v>
      </c>
      <c r="E289" s="2" t="s">
        <v>11</v>
      </c>
      <c r="F289" s="3"/>
      <c r="G289" s="2"/>
    </row>
    <row r="290" spans="1:7" x14ac:dyDescent="0.35">
      <c r="A290" s="2" t="s">
        <v>607</v>
      </c>
      <c r="B290" s="2" t="s">
        <v>608</v>
      </c>
      <c r="C290" s="2" t="s">
        <v>14</v>
      </c>
      <c r="D290" s="2" t="s">
        <v>10</v>
      </c>
      <c r="E290" s="2" t="s">
        <v>11</v>
      </c>
      <c r="F290" s="3"/>
      <c r="G290" s="2"/>
    </row>
    <row r="291" spans="1:7" x14ac:dyDescent="0.35">
      <c r="A291" s="2" t="s">
        <v>609</v>
      </c>
      <c r="B291" s="2" t="s">
        <v>610</v>
      </c>
      <c r="C291" s="2" t="s">
        <v>24</v>
      </c>
      <c r="D291" s="2" t="s">
        <v>10</v>
      </c>
      <c r="E291" s="2" t="s">
        <v>11</v>
      </c>
      <c r="F291" s="3">
        <f>VLOOKUP(A291,'[1]DAFTAR GAJI'!$B$8:$CE$42,79,FALSE)</f>
        <v>10000</v>
      </c>
      <c r="G291" s="2"/>
    </row>
    <row r="292" spans="1:7" x14ac:dyDescent="0.35">
      <c r="A292" s="2" t="s">
        <v>611</v>
      </c>
      <c r="B292" s="2" t="s">
        <v>612</v>
      </c>
      <c r="C292" s="2" t="s">
        <v>14</v>
      </c>
      <c r="D292" s="2" t="s">
        <v>10</v>
      </c>
      <c r="E292" s="2" t="s">
        <v>11</v>
      </c>
      <c r="F292" s="3"/>
      <c r="G292" s="2"/>
    </row>
    <row r="293" spans="1:7" x14ac:dyDescent="0.35">
      <c r="A293" s="2" t="s">
        <v>613</v>
      </c>
      <c r="B293" s="2" t="s">
        <v>614</v>
      </c>
      <c r="C293" s="2" t="s">
        <v>39</v>
      </c>
      <c r="D293" s="2" t="s">
        <v>10</v>
      </c>
      <c r="E293" s="2" t="s">
        <v>11</v>
      </c>
      <c r="F293" s="3"/>
      <c r="G293" s="2"/>
    </row>
    <row r="294" spans="1:7" x14ac:dyDescent="0.35">
      <c r="A294" s="2" t="s">
        <v>615</v>
      </c>
      <c r="B294" s="2" t="s">
        <v>616</v>
      </c>
      <c r="C294" s="2" t="s">
        <v>14</v>
      </c>
      <c r="D294" s="2" t="s">
        <v>10</v>
      </c>
      <c r="E294" s="2" t="s">
        <v>11</v>
      </c>
      <c r="F294" s="3"/>
      <c r="G294" s="2"/>
    </row>
    <row r="295" spans="1:7" x14ac:dyDescent="0.35">
      <c r="A295" s="2" t="s">
        <v>617</v>
      </c>
      <c r="B295" s="2" t="s">
        <v>618</v>
      </c>
      <c r="C295" s="2" t="s">
        <v>14</v>
      </c>
      <c r="D295" s="2" t="s">
        <v>10</v>
      </c>
      <c r="E295" s="2" t="s">
        <v>11</v>
      </c>
      <c r="F295" s="3"/>
      <c r="G295" s="2"/>
    </row>
    <row r="296" spans="1:7" x14ac:dyDescent="0.35">
      <c r="A296" s="2" t="s">
        <v>619</v>
      </c>
      <c r="B296" s="2" t="s">
        <v>620</v>
      </c>
      <c r="C296" s="2" t="s">
        <v>24</v>
      </c>
      <c r="D296" s="2" t="s">
        <v>10</v>
      </c>
      <c r="E296" s="2" t="s">
        <v>11</v>
      </c>
      <c r="F296" s="3"/>
      <c r="G296" s="2"/>
    </row>
    <row r="297" spans="1:7" x14ac:dyDescent="0.35">
      <c r="A297" s="2" t="s">
        <v>621</v>
      </c>
      <c r="B297" s="2" t="s">
        <v>622</v>
      </c>
      <c r="C297" s="2" t="s">
        <v>24</v>
      </c>
      <c r="D297" s="2" t="s">
        <v>10</v>
      </c>
      <c r="E297" s="2" t="s">
        <v>11</v>
      </c>
      <c r="F297" s="3"/>
      <c r="G297" s="2"/>
    </row>
    <row r="298" spans="1:7" x14ac:dyDescent="0.35">
      <c r="A298" s="2" t="s">
        <v>623</v>
      </c>
      <c r="B298" s="2" t="s">
        <v>624</v>
      </c>
      <c r="C298" s="2" t="s">
        <v>217</v>
      </c>
      <c r="D298" s="2" t="s">
        <v>10</v>
      </c>
      <c r="E298" s="2" t="s">
        <v>11</v>
      </c>
      <c r="F298" s="3"/>
      <c r="G298" s="2"/>
    </row>
    <row r="299" spans="1:7" x14ac:dyDescent="0.35">
      <c r="A299" s="2" t="s">
        <v>625</v>
      </c>
      <c r="B299" s="2" t="s">
        <v>626</v>
      </c>
      <c r="C299" s="2" t="s">
        <v>14</v>
      </c>
      <c r="D299" s="2" t="s">
        <v>10</v>
      </c>
      <c r="E299" s="2" t="s">
        <v>11</v>
      </c>
      <c r="F299" s="3"/>
      <c r="G299" s="2"/>
    </row>
    <row r="300" spans="1:7" x14ac:dyDescent="0.35">
      <c r="A300" s="2" t="s">
        <v>627</v>
      </c>
      <c r="B300" s="2" t="s">
        <v>628</v>
      </c>
      <c r="C300" s="2" t="s">
        <v>325</v>
      </c>
      <c r="D300" s="2" t="s">
        <v>10</v>
      </c>
      <c r="E300" s="2" t="s">
        <v>11</v>
      </c>
      <c r="F300" s="3"/>
      <c r="G300" s="2"/>
    </row>
    <row r="301" spans="1:7" x14ac:dyDescent="0.35">
      <c r="A301" s="2" t="s">
        <v>629</v>
      </c>
      <c r="B301" s="2" t="s">
        <v>630</v>
      </c>
      <c r="C301" s="2" t="s">
        <v>14</v>
      </c>
      <c r="D301" s="2" t="s">
        <v>10</v>
      </c>
      <c r="E301" s="2" t="s">
        <v>11</v>
      </c>
      <c r="F301" s="3"/>
      <c r="G301" s="2"/>
    </row>
    <row r="302" spans="1:7" x14ac:dyDescent="0.35">
      <c r="A302" s="2" t="s">
        <v>631</v>
      </c>
      <c r="B302" s="2" t="s">
        <v>632</v>
      </c>
      <c r="C302" s="2" t="s">
        <v>14</v>
      </c>
      <c r="D302" s="2" t="s">
        <v>10</v>
      </c>
      <c r="E302" s="2" t="s">
        <v>11</v>
      </c>
      <c r="F302" s="3"/>
      <c r="G302" s="2"/>
    </row>
    <row r="303" spans="1:7" x14ac:dyDescent="0.35">
      <c r="A303" s="2" t="s">
        <v>633</v>
      </c>
      <c r="B303" s="2" t="s">
        <v>634</v>
      </c>
      <c r="C303" s="2" t="s">
        <v>39</v>
      </c>
      <c r="D303" s="2" t="s">
        <v>10</v>
      </c>
      <c r="E303" s="2" t="s">
        <v>11</v>
      </c>
      <c r="F303" s="3"/>
      <c r="G303" s="2"/>
    </row>
    <row r="304" spans="1:7" x14ac:dyDescent="0.35">
      <c r="A304" s="2" t="s">
        <v>635</v>
      </c>
      <c r="B304" s="2" t="s">
        <v>636</v>
      </c>
      <c r="C304" s="2" t="s">
        <v>24</v>
      </c>
      <c r="D304" s="2" t="s">
        <v>10</v>
      </c>
      <c r="E304" s="2" t="s">
        <v>11</v>
      </c>
      <c r="F304" s="3"/>
      <c r="G304" s="2"/>
    </row>
    <row r="305" spans="1:7" x14ac:dyDescent="0.35">
      <c r="A305" s="2" t="s">
        <v>637</v>
      </c>
      <c r="B305" s="2" t="s">
        <v>638</v>
      </c>
      <c r="C305" s="2" t="s">
        <v>24</v>
      </c>
      <c r="D305" s="2" t="s">
        <v>10</v>
      </c>
      <c r="E305" s="2" t="s">
        <v>11</v>
      </c>
      <c r="F305" s="3"/>
      <c r="G305" s="2"/>
    </row>
    <row r="306" spans="1:7" x14ac:dyDescent="0.35">
      <c r="A306" s="2" t="s">
        <v>639</v>
      </c>
      <c r="B306" s="2" t="s">
        <v>640</v>
      </c>
      <c r="C306" s="2" t="s">
        <v>14</v>
      </c>
      <c r="D306" s="2" t="s">
        <v>10</v>
      </c>
      <c r="E306" s="2" t="s">
        <v>11</v>
      </c>
      <c r="F306" s="3"/>
      <c r="G306" s="2"/>
    </row>
    <row r="307" spans="1:7" x14ac:dyDescent="0.35">
      <c r="A307" s="2" t="s">
        <v>641</v>
      </c>
      <c r="B307" s="2" t="s">
        <v>642</v>
      </c>
      <c r="C307" s="2" t="s">
        <v>24</v>
      </c>
      <c r="D307" s="2" t="s">
        <v>10</v>
      </c>
      <c r="E307" s="2" t="s">
        <v>11</v>
      </c>
      <c r="F307" s="3"/>
      <c r="G307" s="2"/>
    </row>
    <row r="308" spans="1:7" x14ac:dyDescent="0.35">
      <c r="A308" s="2" t="s">
        <v>643</v>
      </c>
      <c r="B308" s="2" t="s">
        <v>644</v>
      </c>
      <c r="C308" s="2" t="s">
        <v>246</v>
      </c>
      <c r="D308" s="2" t="s">
        <v>10</v>
      </c>
      <c r="E308" s="2" t="s">
        <v>11</v>
      </c>
      <c r="F308" s="3"/>
      <c r="G308" s="2"/>
    </row>
    <row r="309" spans="1:7" x14ac:dyDescent="0.35">
      <c r="A309" s="2" t="s">
        <v>645</v>
      </c>
      <c r="B309" s="2" t="s">
        <v>646</v>
      </c>
      <c r="C309" s="2" t="s">
        <v>14</v>
      </c>
      <c r="D309" s="2" t="s">
        <v>10</v>
      </c>
      <c r="E309" s="2" t="s">
        <v>11</v>
      </c>
      <c r="F309" s="3"/>
      <c r="G309" s="2"/>
    </row>
    <row r="310" spans="1:7" x14ac:dyDescent="0.35">
      <c r="A310" s="2" t="s">
        <v>647</v>
      </c>
      <c r="B310" s="2" t="s">
        <v>648</v>
      </c>
      <c r="C310" s="2" t="s">
        <v>14</v>
      </c>
      <c r="D310" s="2" t="s">
        <v>10</v>
      </c>
      <c r="E310" s="2" t="s">
        <v>11</v>
      </c>
      <c r="F310" s="3"/>
      <c r="G310" s="2"/>
    </row>
    <row r="311" spans="1:7" x14ac:dyDescent="0.35">
      <c r="A311" s="2" t="s">
        <v>649</v>
      </c>
      <c r="B311" s="2" t="s">
        <v>650</v>
      </c>
      <c r="C311" s="2" t="s">
        <v>34</v>
      </c>
      <c r="D311" s="2" t="s">
        <v>10</v>
      </c>
      <c r="E311" s="2" t="s">
        <v>11</v>
      </c>
      <c r="F311" s="3"/>
      <c r="G311" s="2"/>
    </row>
    <row r="312" spans="1:7" x14ac:dyDescent="0.35">
      <c r="A312" s="2" t="s">
        <v>651</v>
      </c>
      <c r="B312" s="2" t="s">
        <v>652</v>
      </c>
      <c r="C312" s="2" t="s">
        <v>24</v>
      </c>
      <c r="D312" s="2" t="s">
        <v>10</v>
      </c>
      <c r="E312" s="2" t="s">
        <v>11</v>
      </c>
      <c r="F312" s="3"/>
      <c r="G312" s="2"/>
    </row>
    <row r="313" spans="1:7" x14ac:dyDescent="0.35">
      <c r="A313" s="2" t="s">
        <v>653</v>
      </c>
      <c r="B313" s="2" t="s">
        <v>654</v>
      </c>
      <c r="C313" s="2" t="s">
        <v>24</v>
      </c>
      <c r="D313" s="2" t="s">
        <v>10</v>
      </c>
      <c r="E313" s="2" t="s">
        <v>11</v>
      </c>
      <c r="F313" s="3"/>
      <c r="G313" s="2"/>
    </row>
    <row r="314" spans="1:7" x14ac:dyDescent="0.35">
      <c r="A314" s="2" t="s">
        <v>655</v>
      </c>
      <c r="B314" s="2" t="s">
        <v>656</v>
      </c>
      <c r="C314" s="2" t="s">
        <v>24</v>
      </c>
      <c r="D314" s="2" t="s">
        <v>10</v>
      </c>
      <c r="E314" s="2" t="s">
        <v>11</v>
      </c>
      <c r="F314" s="3"/>
      <c r="G314" s="2"/>
    </row>
    <row r="315" spans="1:7" x14ac:dyDescent="0.35">
      <c r="A315" s="2" t="s">
        <v>657</v>
      </c>
      <c r="B315" s="2" t="s">
        <v>658</v>
      </c>
      <c r="C315" s="2" t="s">
        <v>211</v>
      </c>
      <c r="D315" s="2" t="s">
        <v>10</v>
      </c>
      <c r="E315" s="2" t="s">
        <v>11</v>
      </c>
      <c r="F315" s="3"/>
      <c r="G315" s="2"/>
    </row>
    <row r="316" spans="1:7" x14ac:dyDescent="0.35">
      <c r="A316" s="2" t="s">
        <v>659</v>
      </c>
      <c r="B316" s="2" t="s">
        <v>660</v>
      </c>
      <c r="C316" s="2" t="s">
        <v>325</v>
      </c>
      <c r="D316" s="2" t="s">
        <v>10</v>
      </c>
      <c r="E316" s="2" t="s">
        <v>11</v>
      </c>
      <c r="F316" s="3"/>
      <c r="G316" s="2"/>
    </row>
    <row r="317" spans="1:7" x14ac:dyDescent="0.35">
      <c r="A317" s="2" t="s">
        <v>661</v>
      </c>
      <c r="B317" s="2" t="s">
        <v>662</v>
      </c>
      <c r="C317" s="2" t="s">
        <v>24</v>
      </c>
      <c r="D317" s="2" t="s">
        <v>10</v>
      </c>
      <c r="E317" s="2" t="s">
        <v>11</v>
      </c>
      <c r="F317" s="3"/>
      <c r="G317" s="2"/>
    </row>
    <row r="318" spans="1:7" x14ac:dyDescent="0.35">
      <c r="A318" s="2" t="s">
        <v>663</v>
      </c>
      <c r="B318" s="2" t="s">
        <v>664</v>
      </c>
      <c r="C318" s="2" t="s">
        <v>14</v>
      </c>
      <c r="D318" s="2" t="s">
        <v>10</v>
      </c>
      <c r="E318" s="2" t="s">
        <v>11</v>
      </c>
      <c r="F318" s="3"/>
      <c r="G318" s="2"/>
    </row>
    <row r="319" spans="1:7" x14ac:dyDescent="0.35">
      <c r="A319" s="2" t="s">
        <v>665</v>
      </c>
      <c r="B319" s="2" t="s">
        <v>666</v>
      </c>
      <c r="C319" s="2" t="s">
        <v>24</v>
      </c>
      <c r="D319" s="2" t="s">
        <v>10</v>
      </c>
      <c r="E319" s="2" t="s">
        <v>11</v>
      </c>
      <c r="F319" s="3"/>
      <c r="G319" s="2"/>
    </row>
    <row r="320" spans="1:7" x14ac:dyDescent="0.35">
      <c r="A320" s="2" t="s">
        <v>667</v>
      </c>
      <c r="B320" s="2" t="s">
        <v>668</v>
      </c>
      <c r="C320" s="2" t="s">
        <v>14</v>
      </c>
      <c r="D320" s="2" t="s">
        <v>10</v>
      </c>
      <c r="E320" s="2" t="s">
        <v>11</v>
      </c>
      <c r="F320" s="3"/>
      <c r="G320" s="2"/>
    </row>
    <row r="321" spans="1:7" x14ac:dyDescent="0.35">
      <c r="A321" s="2" t="s">
        <v>669</v>
      </c>
      <c r="B321" s="2" t="s">
        <v>670</v>
      </c>
      <c r="C321" s="2" t="s">
        <v>24</v>
      </c>
      <c r="D321" s="2" t="s">
        <v>10</v>
      </c>
      <c r="E321" s="2" t="s">
        <v>11</v>
      </c>
      <c r="F321" s="3"/>
      <c r="G321" s="2"/>
    </row>
    <row r="322" spans="1:7" x14ac:dyDescent="0.35">
      <c r="A322" s="2" t="s">
        <v>671</v>
      </c>
      <c r="B322" s="2" t="s">
        <v>672</v>
      </c>
      <c r="C322" s="2" t="s">
        <v>14</v>
      </c>
      <c r="D322" s="2" t="s">
        <v>10</v>
      </c>
      <c r="E322" s="2" t="s">
        <v>11</v>
      </c>
      <c r="F322" s="3"/>
      <c r="G322" s="2"/>
    </row>
    <row r="323" spans="1:7" x14ac:dyDescent="0.35">
      <c r="A323" s="2" t="s">
        <v>673</v>
      </c>
      <c r="B323" s="2" t="s">
        <v>674</v>
      </c>
      <c r="C323" s="2" t="s">
        <v>24</v>
      </c>
      <c r="D323" s="2" t="s">
        <v>10</v>
      </c>
      <c r="E323" s="2" t="s">
        <v>11</v>
      </c>
      <c r="F323" s="3"/>
      <c r="G323" s="2"/>
    </row>
    <row r="324" spans="1:7" x14ac:dyDescent="0.35">
      <c r="A324" s="2" t="s">
        <v>675</v>
      </c>
      <c r="B324" s="2" t="s">
        <v>676</v>
      </c>
      <c r="C324" s="2" t="s">
        <v>24</v>
      </c>
      <c r="D324" s="2" t="s">
        <v>10</v>
      </c>
      <c r="E324" s="2" t="s">
        <v>11</v>
      </c>
      <c r="F324" s="3">
        <f>VLOOKUP(A324,'[1]DAFTAR GAJI'!$B$8:$CE$42,79,FALSE)</f>
        <v>5000</v>
      </c>
      <c r="G324" s="2"/>
    </row>
    <row r="325" spans="1:7" x14ac:dyDescent="0.35">
      <c r="A325" s="2" t="s">
        <v>677</v>
      </c>
      <c r="B325" s="2" t="s">
        <v>678</v>
      </c>
      <c r="C325" s="2" t="s">
        <v>24</v>
      </c>
      <c r="D325" s="2" t="s">
        <v>10</v>
      </c>
      <c r="E325" s="2" t="s">
        <v>11</v>
      </c>
      <c r="F325" s="3"/>
      <c r="G325" s="2"/>
    </row>
    <row r="326" spans="1:7" x14ac:dyDescent="0.35">
      <c r="A326" s="2" t="s">
        <v>679</v>
      </c>
      <c r="B326" s="2" t="s">
        <v>680</v>
      </c>
      <c r="C326" s="2" t="s">
        <v>24</v>
      </c>
      <c r="D326" s="2" t="s">
        <v>10</v>
      </c>
      <c r="E326" s="2" t="s">
        <v>11</v>
      </c>
      <c r="F326" s="3"/>
      <c r="G326" s="2"/>
    </row>
    <row r="327" spans="1:7" x14ac:dyDescent="0.35">
      <c r="A327" s="2" t="s">
        <v>681</v>
      </c>
      <c r="B327" s="2" t="s">
        <v>682</v>
      </c>
      <c r="C327" s="2" t="s">
        <v>14</v>
      </c>
      <c r="D327" s="2" t="s">
        <v>10</v>
      </c>
      <c r="E327" s="2" t="s">
        <v>11</v>
      </c>
      <c r="F327" s="3"/>
      <c r="G327" s="2"/>
    </row>
    <row r="328" spans="1:7" x14ac:dyDescent="0.35">
      <c r="A328" s="2" t="s">
        <v>683</v>
      </c>
      <c r="B328" s="2" t="s">
        <v>684</v>
      </c>
      <c r="C328" s="2" t="s">
        <v>176</v>
      </c>
      <c r="D328" s="2" t="s">
        <v>10</v>
      </c>
      <c r="E328" s="2" t="s">
        <v>11</v>
      </c>
      <c r="F328" s="3"/>
      <c r="G328" s="2"/>
    </row>
    <row r="329" spans="1:7" x14ac:dyDescent="0.35">
      <c r="A329" s="2" t="s">
        <v>685</v>
      </c>
      <c r="B329" s="2" t="s">
        <v>686</v>
      </c>
      <c r="C329" s="2" t="s">
        <v>14</v>
      </c>
      <c r="D329" s="2" t="s">
        <v>10</v>
      </c>
      <c r="E329" s="2" t="s">
        <v>11</v>
      </c>
      <c r="F329" s="3"/>
      <c r="G329" s="2"/>
    </row>
    <row r="330" spans="1:7" x14ac:dyDescent="0.35">
      <c r="A330" s="2" t="s">
        <v>687</v>
      </c>
      <c r="B330" s="2" t="s">
        <v>688</v>
      </c>
      <c r="C330" s="2" t="s">
        <v>169</v>
      </c>
      <c r="D330" s="2" t="s">
        <v>10</v>
      </c>
      <c r="E330" s="2" t="s">
        <v>11</v>
      </c>
      <c r="F330" s="3"/>
      <c r="G330" s="2"/>
    </row>
    <row r="331" spans="1:7" x14ac:dyDescent="0.35">
      <c r="A331" s="2" t="s">
        <v>689</v>
      </c>
      <c r="B331" s="2" t="s">
        <v>690</v>
      </c>
      <c r="C331" s="2" t="s">
        <v>24</v>
      </c>
      <c r="D331" s="2" t="s">
        <v>10</v>
      </c>
      <c r="E331" s="2" t="s">
        <v>11</v>
      </c>
      <c r="F331" s="3"/>
      <c r="G331" s="2"/>
    </row>
    <row r="332" spans="1:7" x14ac:dyDescent="0.35">
      <c r="A332" s="2" t="s">
        <v>693</v>
      </c>
      <c r="B332" s="2" t="s">
        <v>694</v>
      </c>
      <c r="C332" s="2" t="s">
        <v>24</v>
      </c>
      <c r="D332" s="2" t="s">
        <v>10</v>
      </c>
      <c r="E332" s="2" t="s">
        <v>11</v>
      </c>
      <c r="F332" s="3"/>
      <c r="G332" s="2"/>
    </row>
    <row r="333" spans="1:7" x14ac:dyDescent="0.35">
      <c r="A333" s="2" t="s">
        <v>691</v>
      </c>
      <c r="B333" s="2" t="s">
        <v>692</v>
      </c>
      <c r="C333" s="2" t="s">
        <v>176</v>
      </c>
      <c r="D333" s="2" t="s">
        <v>10</v>
      </c>
      <c r="E333" s="2" t="s">
        <v>11</v>
      </c>
      <c r="F333" s="3"/>
      <c r="G333" s="2"/>
    </row>
    <row r="334" spans="1:7" x14ac:dyDescent="0.35">
      <c r="F334" s="4">
        <f>SUM(F2:F333)</f>
        <v>30750</v>
      </c>
    </row>
    <row r="335" spans="1:7" x14ac:dyDescent="0.35">
      <c r="F335">
        <f>'[1]DAFTAR GAJI'!$CB$45</f>
        <v>30750</v>
      </c>
    </row>
    <row r="336" spans="1:7" x14ac:dyDescent="0.35">
      <c r="F336">
        <f>F335-F334</f>
        <v>0</v>
      </c>
    </row>
  </sheetData>
  <autoFilter ref="F1:F337" xr:uid="{E4DE5986-257E-45A5-881A-38E5B5F31D8B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Daftar_Karyawan_LANE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asus 62843</cp:lastModifiedBy>
  <dcterms:created xsi:type="dcterms:W3CDTF">2025-10-15T06:03:42Z</dcterms:created>
  <dcterms:modified xsi:type="dcterms:W3CDTF">2026-03-09T04:33:05Z</dcterms:modified>
</cp:coreProperties>
</file>